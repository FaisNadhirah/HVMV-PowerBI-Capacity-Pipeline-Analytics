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10102808\OneDrive - Tenaga Nasional Berhad\Desktop\Capstone Project\"/>
    </mc:Choice>
  </mc:AlternateContent>
  <xr:revisionPtr revIDLastSave="55" documentId="8_{7CBF6FC2-8148-456D-9B46-3AD63657AD89}" xr6:coauthVersionLast="36" xr6:coauthVersionMax="36" xr10:uidLastSave="{9A5628A2-EEB3-4380-864D-3DE9325A8C88}"/>
  <bookViews>
    <workbookView xWindow="0" yWindow="0" windowWidth="19008" windowHeight="9804" xr2:uid="{00000000-000D-0000-FFFF-FFFF00000000}"/>
  </bookViews>
  <sheets>
    <sheet name="Project Details" sheetId="1" r:id="rId1"/>
    <sheet name="Summary" sheetId="2" r:id="rId2"/>
    <sheet name="HVMV" sheetId="7" r:id="rId3"/>
    <sheet name="Commission target" sheetId="3" r:id="rId4"/>
    <sheet name="Stage_List" sheetId="4" r:id="rId5"/>
    <sheet name="Sector_List" sheetId="5" r:id="rId6"/>
  </sheets>
  <definedNames>
    <definedName name="_xlnm._FilterDatabase" localSheetId="0" hidden="1">'Project Details'!$A$1:$I$228</definedName>
  </definedNames>
  <calcPr calcId="191029"/>
</workbook>
</file>

<file path=xl/calcChain.xml><?xml version="1.0" encoding="utf-8"?>
<calcChain xmlns="http://schemas.openxmlformats.org/spreadsheetml/2006/main">
  <c r="H13" i="2" l="1"/>
  <c r="E13" i="2"/>
  <c r="L13" i="2" s="1"/>
  <c r="H12" i="2"/>
  <c r="E12" i="2"/>
  <c r="L11" i="2"/>
  <c r="H11" i="2"/>
  <c r="E11" i="2"/>
  <c r="H3" i="2"/>
  <c r="H4" i="2"/>
  <c r="H5" i="2"/>
  <c r="H6" i="2"/>
  <c r="H7" i="2"/>
  <c r="E3" i="2"/>
  <c r="E4" i="2"/>
  <c r="E5" i="2"/>
  <c r="E6" i="2"/>
  <c r="E7" i="2"/>
  <c r="E2" i="2"/>
  <c r="H2" i="2"/>
  <c r="L2" i="2"/>
  <c r="L15" i="2"/>
  <c r="L14" i="2"/>
  <c r="L12" i="2"/>
  <c r="L5" i="2"/>
  <c r="L6" i="2"/>
  <c r="L3" i="2"/>
  <c r="L16" i="2" l="1"/>
  <c r="L4" i="2"/>
  <c r="L7" i="2"/>
</calcChain>
</file>

<file path=xl/sharedStrings.xml><?xml version="1.0" encoding="utf-8"?>
<sst xmlns="http://schemas.openxmlformats.org/spreadsheetml/2006/main" count="1054" uniqueCount="289">
  <si>
    <t>Sector</t>
  </si>
  <si>
    <t>Voltage</t>
  </si>
  <si>
    <t>Project Name</t>
  </si>
  <si>
    <t>Stage</t>
  </si>
  <si>
    <t>MD (MW)</t>
  </si>
  <si>
    <t>SRD</t>
  </si>
  <si>
    <t xml:space="preserve">Projection
KWh </t>
  </si>
  <si>
    <t xml:space="preserve">Projection
RM </t>
  </si>
  <si>
    <t>Remarks</t>
  </si>
  <si>
    <t>Data Center</t>
  </si>
  <si>
    <t>HV</t>
  </si>
  <si>
    <t>Nova Logistics Centre 1</t>
  </si>
  <si>
    <t>Pre Consult</t>
  </si>
  <si>
    <t>Titan Green Park 1</t>
  </si>
  <si>
    <t>Cyber Green Park 5</t>
  </si>
  <si>
    <t>Central Plaza 3</t>
  </si>
  <si>
    <t>Vertex Tech Park 3</t>
  </si>
  <si>
    <t>Cyber Plaza 8</t>
  </si>
  <si>
    <t>Skyline Heights 2</t>
  </si>
  <si>
    <t>Quantum Heights 6</t>
  </si>
  <si>
    <t>Central Commercial Centre 5</t>
  </si>
  <si>
    <t>Quantum Innovation Campus 6</t>
  </si>
  <si>
    <t>Summit Logistics Centre 8</t>
  </si>
  <si>
    <t>Nexus Tech Park 5</t>
  </si>
  <si>
    <t>Pacific Integrated Development 4</t>
  </si>
  <si>
    <t>Alpha Innovation Campus 6</t>
  </si>
  <si>
    <t>Vertex Extension 5</t>
  </si>
  <si>
    <t>Metro Green Park 8</t>
  </si>
  <si>
    <t>Ever Innovation Campus 1</t>
  </si>
  <si>
    <t>Vertex Innovation Campus 6</t>
  </si>
  <si>
    <t>Orion Commercial Centre 8</t>
  </si>
  <si>
    <t>Omega Commercial Centre 8</t>
  </si>
  <si>
    <t>Titan Business Hub 4</t>
  </si>
  <si>
    <t>Axis Phase 4</t>
  </si>
  <si>
    <t>Axis Industrial Park 8</t>
  </si>
  <si>
    <t>Summit Gateway 3</t>
  </si>
  <si>
    <t>Pinnacle Green Park 2</t>
  </si>
  <si>
    <t>Ever Digital Campus 5</t>
  </si>
  <si>
    <t>Axis Tech Park 8</t>
  </si>
  <si>
    <t>Ever Digital Campus 6</t>
  </si>
  <si>
    <t>Skyline Extension 1</t>
  </si>
  <si>
    <t>Axis Energy Complex 3</t>
  </si>
  <si>
    <t>Cyber Commercial Centre 2</t>
  </si>
  <si>
    <t>Pinnacle Tower 3</t>
  </si>
  <si>
    <t>MV</t>
  </si>
  <si>
    <t>Central Heights 2</t>
  </si>
  <si>
    <t>Meridian Digital Campus 4</t>
  </si>
  <si>
    <t>-</t>
  </si>
  <si>
    <t>Central Gateway 2</t>
  </si>
  <si>
    <t>Omega Gateway 8</t>
  </si>
  <si>
    <t>Titan Phase 2</t>
  </si>
  <si>
    <t>Skyline Square 2</t>
  </si>
  <si>
    <t>Axis Integrated Development 8</t>
  </si>
  <si>
    <t>Pinnacle Business Hub 1</t>
  </si>
  <si>
    <t>Official Supply Submission</t>
  </si>
  <si>
    <t>Skyline City 1</t>
  </si>
  <si>
    <t>CPP Approval</t>
  </si>
  <si>
    <t>Prime Green Park 1</t>
  </si>
  <si>
    <t>Cyber City 7</t>
  </si>
  <si>
    <t>CSP Paid</t>
  </si>
  <si>
    <t>Nova Tower 3</t>
  </si>
  <si>
    <t>Construction</t>
  </si>
  <si>
    <t>Pinnacle Heights 3</t>
  </si>
  <si>
    <t>Metro Industrial Park 1</t>
  </si>
  <si>
    <t>Prime City 6</t>
  </si>
  <si>
    <t>Omega Business Hub 5</t>
  </si>
  <si>
    <t>Nexus Extension 2</t>
  </si>
  <si>
    <t>Completed</t>
  </si>
  <si>
    <t>Prime Business Hub 8</t>
  </si>
  <si>
    <t>Skyline Digital Campus 5</t>
  </si>
  <si>
    <t>Pinnacle Green Park 1</t>
  </si>
  <si>
    <t>Pacific Energy Complex 5</t>
  </si>
  <si>
    <t>Vertex Integrated Development 3</t>
  </si>
  <si>
    <t>Cyber Integrated Development 6</t>
  </si>
  <si>
    <t>Meridian Tower 5</t>
  </si>
  <si>
    <t>Orion Energy Complex 2</t>
  </si>
  <si>
    <t>Cyber Green Park 1</t>
  </si>
  <si>
    <t>Omega Extension 1</t>
  </si>
  <si>
    <t>Meridian Logistics Centre 3</t>
  </si>
  <si>
    <t>Vertex Logistics Centre 3</t>
  </si>
  <si>
    <t>Vertex Innovation Campus 8</t>
  </si>
  <si>
    <t>Manufacturing</t>
  </si>
  <si>
    <t>Summit Tower 5</t>
  </si>
  <si>
    <t>TBC</t>
  </si>
  <si>
    <t>New SRD TBC. Customer need to select supply scheme.</t>
  </si>
  <si>
    <t>Quantum Business Hub 5</t>
  </si>
  <si>
    <t>Quantum City 2</t>
  </si>
  <si>
    <t>Cyber Business Hub 7</t>
  </si>
  <si>
    <t>Orion Industrial Park 1</t>
  </si>
  <si>
    <t>Summit Square 8</t>
  </si>
  <si>
    <t>Titan Innovation Campus 5</t>
  </si>
  <si>
    <t>Skyline Commercial Centre 1</t>
  </si>
  <si>
    <t>Summit Heights 6</t>
  </si>
  <si>
    <t>Axis Gateway 4</t>
  </si>
  <si>
    <t>Alpha Digital Campus 7</t>
  </si>
  <si>
    <t>Axis Commercial Centre 6</t>
  </si>
  <si>
    <t>Prime Tower 8</t>
  </si>
  <si>
    <t>Central Green Park 7</t>
  </si>
  <si>
    <t>Summit Plaza 6</t>
  </si>
  <si>
    <t>Ever Commercial Centre 6</t>
  </si>
  <si>
    <t>Upgrade from 33kV</t>
  </si>
  <si>
    <t>Alpha Innovation Campus 7</t>
  </si>
  <si>
    <t>Pacific Innovation Campus 1</t>
  </si>
  <si>
    <t>Nexus Tech Park 6</t>
  </si>
  <si>
    <t>Technical &amp; Commercial Approval</t>
  </si>
  <si>
    <t>Horizon Heights 8</t>
  </si>
  <si>
    <t>Customer awaiting commercial approval &amp; MITI licence</t>
  </si>
  <si>
    <t>Ever Plaza 5</t>
  </si>
  <si>
    <t>Meridian Extension 7</t>
  </si>
  <si>
    <t>Orion Integrated Development 7</t>
  </si>
  <si>
    <t>Meridian Green Park 7</t>
  </si>
  <si>
    <t>Metro Integrated Development 3</t>
  </si>
  <si>
    <t>TNB Substation Completed</t>
  </si>
  <si>
    <t>Titan Commercial Centre 2</t>
  </si>
  <si>
    <t>Vertex Digital Campus 1</t>
  </si>
  <si>
    <t>Nova Square 4</t>
  </si>
  <si>
    <t>Nexus Tower 8</t>
  </si>
  <si>
    <t>Ever City 8</t>
  </si>
  <si>
    <t>Central Green Park 1</t>
  </si>
  <si>
    <t>Commissioning interim 275kV</t>
  </si>
  <si>
    <t>Ever Digital Campus 3</t>
  </si>
  <si>
    <t>Cyber Gateway 8</t>
  </si>
  <si>
    <t>Federal Government</t>
  </si>
  <si>
    <t>Metro Green Park 7</t>
  </si>
  <si>
    <t>Titan Business Hub 5</t>
  </si>
  <si>
    <t>Metro City 1</t>
  </si>
  <si>
    <t>Vertex Tower 4</t>
  </si>
  <si>
    <t>Metro Business Hub 7</t>
  </si>
  <si>
    <t>Central Tech Park 4</t>
  </si>
  <si>
    <t>Meridian Integrated Development 8</t>
  </si>
  <si>
    <t>Nexus Phase 3</t>
  </si>
  <si>
    <t>Summit Green Park 6</t>
  </si>
  <si>
    <t>Cyber Industrial Park 8</t>
  </si>
  <si>
    <t>Cyber Green Park 8</t>
  </si>
  <si>
    <t>Metro Heights 4</t>
  </si>
  <si>
    <t>Prime Energy Complex 4</t>
  </si>
  <si>
    <t>Vertex Integrated Development 4</t>
  </si>
  <si>
    <t>Nexus Extension 1</t>
  </si>
  <si>
    <t>Central Heights 6</t>
  </si>
  <si>
    <t>Nova Heights 3</t>
  </si>
  <si>
    <t>Meridian Gateway 6</t>
  </si>
  <si>
    <t>Alpha Green Park 3</t>
  </si>
  <si>
    <t>Pinnacle Innovation Campus 2</t>
  </si>
  <si>
    <t>Quantum Tech Park 1</t>
  </si>
  <si>
    <t>Axis Gateway 7</t>
  </si>
  <si>
    <t>Alpha Energy Complex 1</t>
  </si>
  <si>
    <t>Prime Innovation Campus 5</t>
  </si>
  <si>
    <t>Pinnacle Logistics Centre 1</t>
  </si>
  <si>
    <t>Horizon Innovation Campus 5</t>
  </si>
  <si>
    <t>Ever Commercial Centre 8</t>
  </si>
  <si>
    <t>Metro Plaza 8</t>
  </si>
  <si>
    <t>Quantum Energy Complex 3</t>
  </si>
  <si>
    <t>Meridian Integrated Development 2</t>
  </si>
  <si>
    <t>Meridian Digital Campus 5</t>
  </si>
  <si>
    <t>Orion Gateway 1</t>
  </si>
  <si>
    <t>Horizon Plaza 4</t>
  </si>
  <si>
    <t>Skyline Square 4</t>
  </si>
  <si>
    <t>Quantum Energy Complex 8</t>
  </si>
  <si>
    <t>Metro Square 7</t>
  </si>
  <si>
    <t>Horizon Integrated Development 6</t>
  </si>
  <si>
    <t>Titan Energy Complex 5</t>
  </si>
  <si>
    <t>Titan Industrial Park 6</t>
  </si>
  <si>
    <t>Central Phase 1</t>
  </si>
  <si>
    <t>Metro Business Hub 3</t>
  </si>
  <si>
    <t>Quantum Business Hub 7</t>
  </si>
  <si>
    <t>Cyber Logistics Centre 7</t>
  </si>
  <si>
    <t>Nexus Tech Park 2</t>
  </si>
  <si>
    <t>Prime Industrial Park 3</t>
  </si>
  <si>
    <t>Vertex Business Hub 2</t>
  </si>
  <si>
    <t>Metro Integrated Development 8</t>
  </si>
  <si>
    <t>Nexus Extension 6</t>
  </si>
  <si>
    <t>Summit Heights 1</t>
  </si>
  <si>
    <t>Alpha Green Park 2</t>
  </si>
  <si>
    <t>Ever City 6</t>
  </si>
  <si>
    <t>Skyline Tech Park 5</t>
  </si>
  <si>
    <t>Nexus Business Hub 3</t>
  </si>
  <si>
    <t>Cyber Extension 5</t>
  </si>
  <si>
    <t>Prime Extension 2</t>
  </si>
  <si>
    <t>Vertex Energy Complex 4</t>
  </si>
  <si>
    <t>Prime Gateway 7</t>
  </si>
  <si>
    <t>Omega Tower 5</t>
  </si>
  <si>
    <t>Pinnacle Tower 1</t>
  </si>
  <si>
    <t>Skyline Logistics Centre 1</t>
  </si>
  <si>
    <t>Orion Green Park 7</t>
  </si>
  <si>
    <t>Nova Tower 4</t>
  </si>
  <si>
    <t>Metro City 8</t>
  </si>
  <si>
    <t>Pacific Gateway 1</t>
  </si>
  <si>
    <t>Pinnacle Energy Complex 1</t>
  </si>
  <si>
    <t>Nova Square 2</t>
  </si>
  <si>
    <t>Omega Industrial Park 8</t>
  </si>
  <si>
    <t>Titan Integrated Development 5</t>
  </si>
  <si>
    <t>Axis Business Hub 1</t>
  </si>
  <si>
    <t>Logistics &amp; Transportation</t>
  </si>
  <si>
    <t>Omega Phase 6</t>
  </si>
  <si>
    <t>Vertex Gateway 1</t>
  </si>
  <si>
    <t>Skyline Logistics Centre 7</t>
  </si>
  <si>
    <t>Quantum Energy Complex 4</t>
  </si>
  <si>
    <t>Quantum Square 4</t>
  </si>
  <si>
    <t>Quantum Tech Park 3</t>
  </si>
  <si>
    <t>Pacific Integrated Development 1</t>
  </si>
  <si>
    <t>Alpha Integrated Development 5</t>
  </si>
  <si>
    <t>Vertex Energy Complex 3</t>
  </si>
  <si>
    <t>Orion Tech Park 4</t>
  </si>
  <si>
    <t>Orion Square 8</t>
  </si>
  <si>
    <t>Cyber Phase 5</t>
  </si>
  <si>
    <t>Meridian Green Park 5</t>
  </si>
  <si>
    <t>Skyline Commercial Centre 8</t>
  </si>
  <si>
    <t>Quantum Tower 7</t>
  </si>
  <si>
    <t>Alpha Gateway 6</t>
  </si>
  <si>
    <t>Summit Square 7</t>
  </si>
  <si>
    <t>Nova Energy Complex 7</t>
  </si>
  <si>
    <t>Titan Energy Complex 3</t>
  </si>
  <si>
    <t>Quantum Energy Complex 7</t>
  </si>
  <si>
    <t>Horizon Gateway 1</t>
  </si>
  <si>
    <t>Ever Logistics Centre 6</t>
  </si>
  <si>
    <t>Orion Tech Park 2</t>
  </si>
  <si>
    <t>Pre-Consult</t>
  </si>
  <si>
    <t>Metro Plaza 2</t>
  </si>
  <si>
    <t>Nova Plaza 5</t>
  </si>
  <si>
    <t>Orion Industrial Park 6</t>
  </si>
  <si>
    <t>Omega Green Park 5</t>
  </si>
  <si>
    <t>Titan Tech Park 4</t>
  </si>
  <si>
    <t>Metro Digital Campus 2</t>
  </si>
  <si>
    <t>Omega Heights 7</t>
  </si>
  <si>
    <t>Metro Phase 8</t>
  </si>
  <si>
    <t>Summit Phase 3</t>
  </si>
  <si>
    <t>Skyline Commercial Centre 5</t>
  </si>
  <si>
    <t>Pacific Tech Park 7</t>
  </si>
  <si>
    <t>Vertex Phase 6</t>
  </si>
  <si>
    <t>Quantum Energy Complex 5</t>
  </si>
  <si>
    <t>Metro Integrated Development 2</t>
  </si>
  <si>
    <t>Titan Logistics Centre 2</t>
  </si>
  <si>
    <t>Vertex Tech Park 8</t>
  </si>
  <si>
    <t>Pinnacle Innovation Campus 8</t>
  </si>
  <si>
    <t>Axis Commercial Centre 3</t>
  </si>
  <si>
    <t>Prime Digital Campus 6</t>
  </si>
  <si>
    <t>Metro Heights 5</t>
  </si>
  <si>
    <t>Nova Logistics Centre 6</t>
  </si>
  <si>
    <t>Orion Commercial Centre 7</t>
  </si>
  <si>
    <t>Alpha Industrial Park 4</t>
  </si>
  <si>
    <t>Pinnacle Tech Park 3</t>
  </si>
  <si>
    <t>Nexus Logistics Centre 3</t>
  </si>
  <si>
    <t>Nova Business Hub 2</t>
  </si>
  <si>
    <t>Vertex Innovation Campus 1</t>
  </si>
  <si>
    <t>Alpha Commercial Centre 1</t>
  </si>
  <si>
    <t>Summit Extension 7</t>
  </si>
  <si>
    <t>Pinnacle City 4</t>
  </si>
  <si>
    <t>Vertex Square 2</t>
  </si>
  <si>
    <t>Real Estate, Private Education &amp; Healthcare</t>
  </si>
  <si>
    <t>Ever Business Hub 1</t>
  </si>
  <si>
    <t>Technical and Commercial Approval</t>
  </si>
  <si>
    <t>Ever Extension 2</t>
  </si>
  <si>
    <t>Vertex Digital Campus 3</t>
  </si>
  <si>
    <t>Resources, Utilities &amp; Mining</t>
  </si>
  <si>
    <t>Pacific Tech Park 4</t>
  </si>
  <si>
    <t>Total Project</t>
  </si>
  <si>
    <t>In Progress</t>
  </si>
  <si>
    <t>Total MD (MW)</t>
  </si>
  <si>
    <t>Completed Capacity (MW)</t>
  </si>
  <si>
    <t>Balance Capacity (MW)</t>
  </si>
  <si>
    <t>Logistic &amp; Transportation</t>
  </si>
  <si>
    <t>Real Estate</t>
  </si>
  <si>
    <t>Resources</t>
  </si>
  <si>
    <t>Master Development KM</t>
  </si>
  <si>
    <t>Status</t>
  </si>
  <si>
    <t>Target Commission (%)</t>
  </si>
  <si>
    <t>Prospect</t>
  </si>
  <si>
    <t>Qualified</t>
  </si>
  <si>
    <t>MD × 0.10%</t>
  </si>
  <si>
    <t>MD × 0.20%</t>
  </si>
  <si>
    <t>MD × 0.30%</t>
  </si>
  <si>
    <t>ESA Signed</t>
  </si>
  <si>
    <t>Confirmed</t>
  </si>
  <si>
    <t>MD × 0.50%</t>
  </si>
  <si>
    <t>MD × 0.60%</t>
  </si>
  <si>
    <t>MD × 0.80%</t>
  </si>
  <si>
    <t>MD × 1.00%</t>
  </si>
  <si>
    <t>Stage ID</t>
  </si>
  <si>
    <t>Sector ID</t>
  </si>
  <si>
    <t>DC</t>
  </si>
  <si>
    <t>MNU</t>
  </si>
  <si>
    <t>FG</t>
  </si>
  <si>
    <t>LNT</t>
  </si>
  <si>
    <t>REH</t>
  </si>
  <si>
    <t>RUM</t>
  </si>
  <si>
    <t>Commission Calculation</t>
  </si>
  <si>
    <t>Not eligible for commission</t>
  </si>
  <si>
    <t>MVM</t>
  </si>
  <si>
    <t>Balance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</si>
</sst>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"/>
  <sheetViews>
    <sheetView tabSelected="1" workbookViewId="0">
      <selection activeCell="I20" sqref="I20"/>
    </sheetView>
  </sheetViews>
  <sheetFormatPr defaultRowHeight="14.4" x14ac:dyDescent="0.3"/>
  <cols>
    <col min="1" max="1" width="37" bestFit="1" customWidth="1"/>
    <col min="2" max="2" width="7.44140625" bestFit="1" customWidth="1"/>
    <col min="3" max="3" width="24.21875" bestFit="1" customWidth="1"/>
    <col min="4" max="4" width="30.5546875" bestFit="1" customWidth="1"/>
    <col min="5" max="5" width="7" bestFit="1" customWidth="1"/>
    <col min="6" max="6" width="9.5546875" bestFit="1" customWidth="1"/>
    <col min="7" max="8" width="9.5546875" customWidth="1"/>
    <col min="9" max="9" width="46.88671875" bestFit="1" customWidth="1"/>
  </cols>
  <sheetData>
    <row r="1" spans="1:9" ht="28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300</v>
      </c>
      <c r="F2" s="1">
        <v>46357</v>
      </c>
      <c r="G2" s="1"/>
      <c r="H2" s="1"/>
      <c r="I2" s="2"/>
    </row>
    <row r="3" spans="1:9" x14ac:dyDescent="0.3">
      <c r="A3" s="2" t="s">
        <v>9</v>
      </c>
      <c r="B3" s="2" t="s">
        <v>10</v>
      </c>
      <c r="C3" s="2" t="s">
        <v>13</v>
      </c>
      <c r="D3" s="2" t="s">
        <v>12</v>
      </c>
      <c r="E3" s="2">
        <v>240</v>
      </c>
      <c r="F3" s="1">
        <v>47119</v>
      </c>
      <c r="G3" s="1"/>
      <c r="H3" s="1"/>
      <c r="I3" s="2"/>
    </row>
    <row r="4" spans="1:9" x14ac:dyDescent="0.3">
      <c r="A4" s="2" t="s">
        <v>9</v>
      </c>
      <c r="B4" s="2" t="s">
        <v>10</v>
      </c>
      <c r="C4" s="2" t="s">
        <v>14</v>
      </c>
      <c r="D4" s="2" t="s">
        <v>12</v>
      </c>
      <c r="E4" s="2">
        <v>300</v>
      </c>
      <c r="F4" s="1">
        <v>46113</v>
      </c>
      <c r="G4" s="1"/>
      <c r="H4" s="1"/>
      <c r="I4" s="2"/>
    </row>
    <row r="5" spans="1:9" x14ac:dyDescent="0.3">
      <c r="A5" s="2" t="s">
        <v>9</v>
      </c>
      <c r="B5" s="2" t="s">
        <v>10</v>
      </c>
      <c r="C5" s="2" t="s">
        <v>15</v>
      </c>
      <c r="D5" s="2" t="s">
        <v>12</v>
      </c>
      <c r="E5" s="2">
        <v>216</v>
      </c>
      <c r="F5" s="1">
        <v>46054</v>
      </c>
      <c r="G5" s="1"/>
      <c r="H5" s="1"/>
      <c r="I5" s="2"/>
    </row>
    <row r="6" spans="1:9" x14ac:dyDescent="0.3">
      <c r="A6" s="2" t="s">
        <v>9</v>
      </c>
      <c r="B6" s="2" t="s">
        <v>10</v>
      </c>
      <c r="C6" s="2" t="s">
        <v>16</v>
      </c>
      <c r="D6" s="2" t="s">
        <v>12</v>
      </c>
      <c r="E6" s="2">
        <v>400</v>
      </c>
      <c r="F6" s="1">
        <v>47088</v>
      </c>
      <c r="G6" s="1"/>
      <c r="H6" s="1"/>
      <c r="I6" s="2"/>
    </row>
    <row r="7" spans="1:9" x14ac:dyDescent="0.3">
      <c r="A7" s="2" t="s">
        <v>9</v>
      </c>
      <c r="B7" s="2" t="s">
        <v>10</v>
      </c>
      <c r="C7" s="2" t="s">
        <v>17</v>
      </c>
      <c r="D7" s="2" t="s">
        <v>12</v>
      </c>
      <c r="E7" s="2">
        <v>800</v>
      </c>
      <c r="F7" s="1">
        <v>46082</v>
      </c>
      <c r="G7" s="1"/>
      <c r="H7" s="1"/>
      <c r="I7" s="2"/>
    </row>
    <row r="8" spans="1:9" x14ac:dyDescent="0.3">
      <c r="A8" s="2" t="s">
        <v>9</v>
      </c>
      <c r="B8" s="2" t="s">
        <v>10</v>
      </c>
      <c r="C8" s="2" t="s">
        <v>18</v>
      </c>
      <c r="D8" s="2" t="s">
        <v>12</v>
      </c>
      <c r="E8" s="2">
        <v>432</v>
      </c>
      <c r="F8" s="1">
        <v>46478</v>
      </c>
      <c r="G8" s="1"/>
      <c r="H8" s="1"/>
      <c r="I8" s="2"/>
    </row>
    <row r="9" spans="1:9" x14ac:dyDescent="0.3">
      <c r="A9" s="2" t="s">
        <v>9</v>
      </c>
      <c r="B9" s="2" t="s">
        <v>10</v>
      </c>
      <c r="C9" s="2" t="s">
        <v>19</v>
      </c>
      <c r="D9" s="2" t="s">
        <v>12</v>
      </c>
      <c r="E9" s="2">
        <v>247</v>
      </c>
      <c r="F9" s="1">
        <v>47088</v>
      </c>
      <c r="G9" s="1"/>
      <c r="H9" s="1"/>
      <c r="I9" s="2"/>
    </row>
    <row r="10" spans="1:9" x14ac:dyDescent="0.3">
      <c r="A10" s="2" t="s">
        <v>9</v>
      </c>
      <c r="B10" s="2" t="s">
        <v>10</v>
      </c>
      <c r="C10" s="2" t="s">
        <v>20</v>
      </c>
      <c r="D10" s="2" t="s">
        <v>12</v>
      </c>
      <c r="E10" s="2">
        <v>1080</v>
      </c>
      <c r="F10" s="1">
        <v>46357</v>
      </c>
      <c r="G10" s="1"/>
      <c r="H10" s="1"/>
      <c r="I10" s="2"/>
    </row>
    <row r="11" spans="1:9" x14ac:dyDescent="0.3">
      <c r="A11" s="2" t="s">
        <v>9</v>
      </c>
      <c r="B11" s="2" t="s">
        <v>10</v>
      </c>
      <c r="C11" s="2" t="s">
        <v>21</v>
      </c>
      <c r="D11" s="2" t="s">
        <v>12</v>
      </c>
      <c r="E11" s="2">
        <v>300</v>
      </c>
      <c r="F11" s="1">
        <v>46235</v>
      </c>
      <c r="G11" s="1"/>
      <c r="H11" s="1"/>
      <c r="I11" s="2"/>
    </row>
    <row r="12" spans="1:9" x14ac:dyDescent="0.3">
      <c r="A12" s="2" t="s">
        <v>9</v>
      </c>
      <c r="B12" s="2" t="s">
        <v>10</v>
      </c>
      <c r="C12" s="2" t="s">
        <v>22</v>
      </c>
      <c r="D12" s="2" t="s">
        <v>12</v>
      </c>
      <c r="E12" s="2">
        <v>174</v>
      </c>
      <c r="F12" s="1">
        <v>46661</v>
      </c>
      <c r="G12" s="1"/>
      <c r="H12" s="1"/>
      <c r="I12" s="2"/>
    </row>
    <row r="13" spans="1:9" x14ac:dyDescent="0.3">
      <c r="A13" s="2" t="s">
        <v>9</v>
      </c>
      <c r="B13" s="2" t="s">
        <v>10</v>
      </c>
      <c r="C13" s="2" t="s">
        <v>23</v>
      </c>
      <c r="D13" s="2" t="s">
        <v>12</v>
      </c>
      <c r="E13" s="2">
        <v>240</v>
      </c>
      <c r="F13" s="1">
        <v>46905</v>
      </c>
      <c r="G13" s="1"/>
      <c r="H13" s="1"/>
      <c r="I13" s="2"/>
    </row>
    <row r="14" spans="1:9" x14ac:dyDescent="0.3">
      <c r="A14" s="2" t="s">
        <v>9</v>
      </c>
      <c r="B14" s="2" t="s">
        <v>10</v>
      </c>
      <c r="C14" s="2" t="s">
        <v>24</v>
      </c>
      <c r="D14" s="2" t="s">
        <v>12</v>
      </c>
      <c r="E14" s="2">
        <v>85</v>
      </c>
      <c r="F14" s="1">
        <v>46082</v>
      </c>
      <c r="G14" s="1"/>
      <c r="H14" s="1"/>
      <c r="I14" s="2"/>
    </row>
    <row r="15" spans="1:9" x14ac:dyDescent="0.3">
      <c r="A15" s="2" t="s">
        <v>9</v>
      </c>
      <c r="B15" s="2" t="s">
        <v>10</v>
      </c>
      <c r="C15" s="2" t="s">
        <v>25</v>
      </c>
      <c r="D15" s="2" t="s">
        <v>12</v>
      </c>
      <c r="E15" s="2">
        <v>90</v>
      </c>
      <c r="F15" s="1">
        <v>46266</v>
      </c>
      <c r="G15" s="1"/>
      <c r="H15" s="1"/>
      <c r="I15" s="2"/>
    </row>
    <row r="16" spans="1:9" x14ac:dyDescent="0.3">
      <c r="A16" s="2" t="s">
        <v>9</v>
      </c>
      <c r="B16" s="2" t="s">
        <v>10</v>
      </c>
      <c r="C16" s="2" t="s">
        <v>26</v>
      </c>
      <c r="D16" s="2" t="s">
        <v>12</v>
      </c>
      <c r="E16" s="2">
        <v>450</v>
      </c>
      <c r="F16" s="1">
        <v>46266</v>
      </c>
      <c r="G16" s="1"/>
      <c r="H16" s="1"/>
      <c r="I16" s="2"/>
    </row>
    <row r="17" spans="1:9" x14ac:dyDescent="0.3">
      <c r="A17" s="2" t="s">
        <v>9</v>
      </c>
      <c r="B17" s="2" t="s">
        <v>10</v>
      </c>
      <c r="C17" s="2" t="s">
        <v>27</v>
      </c>
      <c r="D17" s="2" t="s">
        <v>12</v>
      </c>
      <c r="E17" s="2">
        <v>500</v>
      </c>
      <c r="F17" s="1">
        <v>46357</v>
      </c>
      <c r="G17" s="1"/>
      <c r="H17" s="1"/>
      <c r="I17" s="2"/>
    </row>
    <row r="18" spans="1:9" x14ac:dyDescent="0.3">
      <c r="A18" s="2" t="s">
        <v>9</v>
      </c>
      <c r="B18" s="2" t="s">
        <v>10</v>
      </c>
      <c r="C18" s="2" t="s">
        <v>28</v>
      </c>
      <c r="D18" s="2" t="s">
        <v>12</v>
      </c>
      <c r="E18" s="2">
        <v>500</v>
      </c>
      <c r="F18" s="1">
        <v>46357</v>
      </c>
      <c r="G18" s="1"/>
      <c r="H18" s="1"/>
      <c r="I18" s="2"/>
    </row>
    <row r="19" spans="1:9" x14ac:dyDescent="0.3">
      <c r="A19" s="2" t="s">
        <v>9</v>
      </c>
      <c r="B19" s="2" t="s">
        <v>10</v>
      </c>
      <c r="C19" s="2" t="s">
        <v>29</v>
      </c>
      <c r="D19" s="2" t="s">
        <v>12</v>
      </c>
      <c r="E19" s="2">
        <v>130</v>
      </c>
      <c r="F19" s="1">
        <v>46813</v>
      </c>
      <c r="G19" s="1"/>
      <c r="H19" s="1"/>
      <c r="I19" s="2"/>
    </row>
    <row r="20" spans="1:9" x14ac:dyDescent="0.3">
      <c r="A20" s="2" t="s">
        <v>9</v>
      </c>
      <c r="B20" s="2" t="s">
        <v>10</v>
      </c>
      <c r="C20" s="2" t="s">
        <v>30</v>
      </c>
      <c r="D20" s="2" t="s">
        <v>12</v>
      </c>
      <c r="E20" s="2">
        <v>500.17</v>
      </c>
      <c r="F20" s="1">
        <v>46631</v>
      </c>
      <c r="G20" s="1"/>
      <c r="H20" s="1"/>
      <c r="I20" s="2"/>
    </row>
    <row r="21" spans="1:9" x14ac:dyDescent="0.3">
      <c r="A21" s="2" t="s">
        <v>9</v>
      </c>
      <c r="B21" s="2" t="s">
        <v>10</v>
      </c>
      <c r="C21" s="2" t="s">
        <v>31</v>
      </c>
      <c r="D21" s="2" t="s">
        <v>12</v>
      </c>
      <c r="E21" s="2">
        <v>450</v>
      </c>
      <c r="F21" s="1">
        <v>46813</v>
      </c>
      <c r="G21" s="1"/>
      <c r="H21" s="1"/>
      <c r="I21" s="2"/>
    </row>
    <row r="22" spans="1:9" x14ac:dyDescent="0.3">
      <c r="A22" s="2" t="s">
        <v>9</v>
      </c>
      <c r="B22" s="2" t="s">
        <v>10</v>
      </c>
      <c r="C22" s="2" t="s">
        <v>32</v>
      </c>
      <c r="D22" s="2" t="s">
        <v>12</v>
      </c>
      <c r="E22" s="2">
        <v>25</v>
      </c>
      <c r="F22" s="1">
        <v>46508</v>
      </c>
      <c r="G22" s="1"/>
      <c r="H22" s="1"/>
      <c r="I22" s="2"/>
    </row>
    <row r="23" spans="1:9" x14ac:dyDescent="0.3">
      <c r="A23" s="2" t="s">
        <v>9</v>
      </c>
      <c r="B23" s="2" t="s">
        <v>10</v>
      </c>
      <c r="C23" s="2" t="s">
        <v>33</v>
      </c>
      <c r="D23" s="2" t="s">
        <v>12</v>
      </c>
      <c r="E23" s="2">
        <v>216</v>
      </c>
      <c r="F23" s="1">
        <v>47635</v>
      </c>
      <c r="G23" s="1"/>
      <c r="H23" s="1"/>
      <c r="I23" s="2"/>
    </row>
    <row r="24" spans="1:9" x14ac:dyDescent="0.3">
      <c r="A24" s="2" t="s">
        <v>9</v>
      </c>
      <c r="B24" s="2" t="s">
        <v>10</v>
      </c>
      <c r="C24" s="2" t="s">
        <v>34</v>
      </c>
      <c r="D24" s="2" t="s">
        <v>12</v>
      </c>
      <c r="E24" s="2">
        <v>250</v>
      </c>
      <c r="F24" s="1">
        <v>47088</v>
      </c>
      <c r="G24" s="1"/>
      <c r="H24" s="1"/>
      <c r="I24" s="2"/>
    </row>
    <row r="25" spans="1:9" x14ac:dyDescent="0.3">
      <c r="A25" s="2" t="s">
        <v>9</v>
      </c>
      <c r="B25" s="2" t="s">
        <v>10</v>
      </c>
      <c r="C25" s="2" t="s">
        <v>35</v>
      </c>
      <c r="D25" s="2" t="s">
        <v>12</v>
      </c>
      <c r="E25" s="2">
        <v>300</v>
      </c>
      <c r="F25" s="1">
        <v>47088</v>
      </c>
      <c r="G25" s="1"/>
      <c r="H25" s="1"/>
      <c r="I25" s="2"/>
    </row>
    <row r="26" spans="1:9" x14ac:dyDescent="0.3">
      <c r="A26" s="2" t="s">
        <v>9</v>
      </c>
      <c r="B26" s="2" t="s">
        <v>10</v>
      </c>
      <c r="C26" s="2" t="s">
        <v>36</v>
      </c>
      <c r="D26" s="2" t="s">
        <v>12</v>
      </c>
      <c r="E26" s="2">
        <v>90</v>
      </c>
      <c r="F26" s="1">
        <v>46357</v>
      </c>
      <c r="G26" s="1"/>
      <c r="H26" s="1"/>
      <c r="I26" s="2"/>
    </row>
    <row r="27" spans="1:9" x14ac:dyDescent="0.3">
      <c r="A27" s="2" t="s">
        <v>9</v>
      </c>
      <c r="B27" s="2" t="s">
        <v>10</v>
      </c>
      <c r="C27" s="2" t="s">
        <v>37</v>
      </c>
      <c r="D27" s="2" t="s">
        <v>12</v>
      </c>
      <c r="E27" s="2">
        <v>120</v>
      </c>
      <c r="F27" s="1">
        <v>46447</v>
      </c>
      <c r="G27" s="1"/>
      <c r="H27" s="1"/>
      <c r="I27" s="2"/>
    </row>
    <row r="28" spans="1:9" x14ac:dyDescent="0.3">
      <c r="A28" s="2" t="s">
        <v>9</v>
      </c>
      <c r="B28" s="2" t="s">
        <v>10</v>
      </c>
      <c r="C28" s="2" t="s">
        <v>38</v>
      </c>
      <c r="D28" s="2" t="s">
        <v>12</v>
      </c>
      <c r="E28" s="2">
        <v>1200</v>
      </c>
      <c r="F28" s="1">
        <v>46327</v>
      </c>
      <c r="G28" s="1"/>
      <c r="H28" s="1"/>
      <c r="I28" s="2"/>
    </row>
    <row r="29" spans="1:9" x14ac:dyDescent="0.3">
      <c r="A29" s="2" t="s">
        <v>9</v>
      </c>
      <c r="B29" s="2" t="s">
        <v>10</v>
      </c>
      <c r="C29" s="2" t="s">
        <v>39</v>
      </c>
      <c r="D29" s="2" t="s">
        <v>12</v>
      </c>
      <c r="E29" s="2">
        <v>450</v>
      </c>
      <c r="F29" s="1">
        <v>46539</v>
      </c>
      <c r="G29" s="1"/>
      <c r="H29" s="1"/>
      <c r="I29" s="2"/>
    </row>
    <row r="30" spans="1:9" x14ac:dyDescent="0.3">
      <c r="A30" s="2" t="s">
        <v>9</v>
      </c>
      <c r="B30" s="2" t="s">
        <v>10</v>
      </c>
      <c r="C30" s="2" t="s">
        <v>40</v>
      </c>
      <c r="D30" s="2" t="s">
        <v>12</v>
      </c>
      <c r="E30" s="2">
        <v>450</v>
      </c>
      <c r="F30" s="1">
        <v>46905</v>
      </c>
      <c r="G30" s="1"/>
      <c r="H30" s="1"/>
      <c r="I30" s="2"/>
    </row>
    <row r="31" spans="1:9" x14ac:dyDescent="0.3">
      <c r="A31" s="2" t="s">
        <v>9</v>
      </c>
      <c r="B31" s="2" t="s">
        <v>10</v>
      </c>
      <c r="C31" s="2" t="s">
        <v>41</v>
      </c>
      <c r="D31" s="2" t="s">
        <v>12</v>
      </c>
      <c r="E31" s="2">
        <v>100</v>
      </c>
      <c r="F31" s="1">
        <v>46357</v>
      </c>
      <c r="G31" s="1"/>
      <c r="H31" s="1"/>
      <c r="I31" s="2"/>
    </row>
    <row r="32" spans="1:9" x14ac:dyDescent="0.3">
      <c r="A32" s="2" t="s">
        <v>9</v>
      </c>
      <c r="B32" s="2" t="s">
        <v>10</v>
      </c>
      <c r="C32" s="2" t="s">
        <v>42</v>
      </c>
      <c r="D32" s="2" t="s">
        <v>12</v>
      </c>
      <c r="E32" s="2">
        <v>600</v>
      </c>
      <c r="F32" s="1">
        <v>46539</v>
      </c>
      <c r="G32" s="1"/>
      <c r="H32" s="1"/>
      <c r="I32" s="2"/>
    </row>
    <row r="33" spans="1:9" x14ac:dyDescent="0.3">
      <c r="A33" s="2" t="s">
        <v>9</v>
      </c>
      <c r="B33" s="2" t="s">
        <v>10</v>
      </c>
      <c r="C33" s="2" t="s">
        <v>43</v>
      </c>
      <c r="D33" s="2" t="s">
        <v>12</v>
      </c>
      <c r="E33" s="2">
        <v>600</v>
      </c>
      <c r="F33" s="1">
        <v>46905</v>
      </c>
      <c r="G33" s="1"/>
      <c r="H33" s="1"/>
      <c r="I33" s="2"/>
    </row>
    <row r="34" spans="1:9" x14ac:dyDescent="0.3">
      <c r="A34" s="2" t="s">
        <v>9</v>
      </c>
      <c r="B34" s="2" t="s">
        <v>44</v>
      </c>
      <c r="C34" s="2" t="s">
        <v>45</v>
      </c>
      <c r="D34" s="2" t="s">
        <v>12</v>
      </c>
      <c r="E34" s="2">
        <v>21.25</v>
      </c>
      <c r="F34" s="1">
        <v>46447</v>
      </c>
      <c r="G34" s="1"/>
      <c r="H34" s="1"/>
      <c r="I34" s="2"/>
    </row>
    <row r="35" spans="1:9" x14ac:dyDescent="0.3">
      <c r="A35" s="2" t="s">
        <v>9</v>
      </c>
      <c r="B35" s="2" t="s">
        <v>44</v>
      </c>
      <c r="C35" s="2" t="s">
        <v>46</v>
      </c>
      <c r="D35" s="2" t="s">
        <v>12</v>
      </c>
      <c r="E35" s="2">
        <v>17</v>
      </c>
      <c r="F35" s="1">
        <v>45992</v>
      </c>
      <c r="G35" s="1"/>
      <c r="H35" s="1"/>
      <c r="I35" s="2"/>
    </row>
    <row r="36" spans="1:9" x14ac:dyDescent="0.3">
      <c r="A36" s="2" t="s">
        <v>9</v>
      </c>
      <c r="B36" s="2" t="s">
        <v>44</v>
      </c>
      <c r="C36" s="2" t="s">
        <v>48</v>
      </c>
      <c r="D36" s="2" t="s">
        <v>12</v>
      </c>
      <c r="E36" s="2">
        <v>21.25</v>
      </c>
      <c r="F36" s="1">
        <v>46082</v>
      </c>
      <c r="G36" s="1"/>
      <c r="H36" s="1"/>
      <c r="I36" s="2"/>
    </row>
    <row r="37" spans="1:9" x14ac:dyDescent="0.3">
      <c r="A37" s="2" t="s">
        <v>9</v>
      </c>
      <c r="B37" s="2" t="s">
        <v>44</v>
      </c>
      <c r="C37" s="2" t="s">
        <v>49</v>
      </c>
      <c r="D37" s="2" t="s">
        <v>12</v>
      </c>
      <c r="E37" s="2">
        <v>21.25</v>
      </c>
      <c r="F37" s="1">
        <v>46419</v>
      </c>
      <c r="G37" s="1"/>
      <c r="H37" s="1"/>
      <c r="I37" s="2"/>
    </row>
    <row r="38" spans="1:9" x14ac:dyDescent="0.3">
      <c r="A38" s="2" t="s">
        <v>9</v>
      </c>
      <c r="B38" s="2" t="s">
        <v>44</v>
      </c>
      <c r="C38" s="2" t="s">
        <v>50</v>
      </c>
      <c r="D38" s="2" t="s">
        <v>12</v>
      </c>
      <c r="E38" s="2">
        <v>21.25</v>
      </c>
      <c r="F38" s="1">
        <v>46419</v>
      </c>
      <c r="G38" s="1"/>
      <c r="H38" s="1"/>
      <c r="I38" s="2"/>
    </row>
    <row r="39" spans="1:9" x14ac:dyDescent="0.3">
      <c r="A39" s="2" t="s">
        <v>9</v>
      </c>
      <c r="B39" s="2" t="s">
        <v>44</v>
      </c>
      <c r="C39" s="2" t="s">
        <v>51</v>
      </c>
      <c r="D39" s="2" t="s">
        <v>12</v>
      </c>
      <c r="E39" s="2">
        <v>21.25</v>
      </c>
      <c r="F39" s="1">
        <v>46266</v>
      </c>
      <c r="G39" s="1"/>
      <c r="H39" s="1"/>
      <c r="I39" s="2"/>
    </row>
    <row r="40" spans="1:9" x14ac:dyDescent="0.3">
      <c r="A40" s="2" t="s">
        <v>9</v>
      </c>
      <c r="B40" s="2" t="s">
        <v>44</v>
      </c>
      <c r="C40" s="2" t="s">
        <v>52</v>
      </c>
      <c r="D40" s="2" t="s">
        <v>12</v>
      </c>
      <c r="E40" s="2">
        <v>21.25</v>
      </c>
      <c r="F40" s="1">
        <v>46478</v>
      </c>
      <c r="G40" s="1"/>
      <c r="H40" s="1"/>
      <c r="I40" s="2"/>
    </row>
    <row r="41" spans="1:9" x14ac:dyDescent="0.3">
      <c r="A41" s="2" t="s">
        <v>9</v>
      </c>
      <c r="B41" s="2" t="s">
        <v>44</v>
      </c>
      <c r="C41" s="2" t="s">
        <v>53</v>
      </c>
      <c r="D41" s="2" t="s">
        <v>54</v>
      </c>
      <c r="E41" s="2">
        <v>21.25</v>
      </c>
      <c r="F41" s="1">
        <v>46235</v>
      </c>
      <c r="G41" s="1"/>
      <c r="H41" s="1"/>
      <c r="I41" s="2"/>
    </row>
    <row r="42" spans="1:9" x14ac:dyDescent="0.3">
      <c r="A42" s="2" t="s">
        <v>9</v>
      </c>
      <c r="B42" s="2" t="s">
        <v>44</v>
      </c>
      <c r="C42" s="2" t="s">
        <v>55</v>
      </c>
      <c r="D42" s="2" t="s">
        <v>56</v>
      </c>
      <c r="E42" s="2">
        <v>21</v>
      </c>
      <c r="F42" s="1">
        <v>46357</v>
      </c>
      <c r="G42" s="1"/>
      <c r="H42" s="1"/>
      <c r="I42" s="2"/>
    </row>
    <row r="43" spans="1:9" x14ac:dyDescent="0.3">
      <c r="A43" s="2" t="s">
        <v>9</v>
      </c>
      <c r="B43" s="2" t="s">
        <v>44</v>
      </c>
      <c r="C43" s="2" t="s">
        <v>57</v>
      </c>
      <c r="D43" s="2" t="s">
        <v>56</v>
      </c>
      <c r="E43" s="2">
        <v>21.25</v>
      </c>
      <c r="F43" s="1">
        <v>46143</v>
      </c>
      <c r="G43" s="1"/>
      <c r="H43" s="1"/>
      <c r="I43" s="2"/>
    </row>
    <row r="44" spans="1:9" x14ac:dyDescent="0.3">
      <c r="A44" s="2" t="s">
        <v>9</v>
      </c>
      <c r="B44" s="2" t="s">
        <v>44</v>
      </c>
      <c r="C44" s="2" t="s">
        <v>58</v>
      </c>
      <c r="D44" s="2" t="s">
        <v>59</v>
      </c>
      <c r="E44" s="2">
        <v>15</v>
      </c>
      <c r="F44" s="1">
        <v>46023</v>
      </c>
      <c r="G44" s="1"/>
      <c r="H44" s="1"/>
      <c r="I44" s="2"/>
    </row>
    <row r="45" spans="1:9" x14ac:dyDescent="0.3">
      <c r="A45" s="2" t="s">
        <v>9</v>
      </c>
      <c r="B45" s="2" t="s">
        <v>44</v>
      </c>
      <c r="C45" s="2" t="s">
        <v>60</v>
      </c>
      <c r="D45" s="2" t="s">
        <v>61</v>
      </c>
      <c r="E45" s="2">
        <v>20</v>
      </c>
      <c r="F45" s="1">
        <v>46082</v>
      </c>
      <c r="G45" s="1"/>
      <c r="H45" s="1"/>
      <c r="I45" s="2"/>
    </row>
    <row r="46" spans="1:9" x14ac:dyDescent="0.3">
      <c r="A46" s="2" t="s">
        <v>9</v>
      </c>
      <c r="B46" s="2" t="s">
        <v>44</v>
      </c>
      <c r="C46" s="2" t="s">
        <v>62</v>
      </c>
      <c r="D46" s="2" t="s">
        <v>61</v>
      </c>
      <c r="E46" s="2">
        <v>21.25</v>
      </c>
      <c r="F46" s="1">
        <v>46296</v>
      </c>
      <c r="G46" s="1"/>
      <c r="H46" s="1"/>
      <c r="I46" s="2"/>
    </row>
    <row r="47" spans="1:9" x14ac:dyDescent="0.3">
      <c r="A47" s="2" t="s">
        <v>9</v>
      </c>
      <c r="B47" s="2" t="s">
        <v>44</v>
      </c>
      <c r="C47" s="2" t="s">
        <v>63</v>
      </c>
      <c r="D47" s="2" t="s">
        <v>61</v>
      </c>
      <c r="E47" s="2">
        <v>21.25</v>
      </c>
      <c r="F47" s="1">
        <v>46113</v>
      </c>
      <c r="G47" s="1"/>
      <c r="H47" s="1"/>
      <c r="I47" s="2"/>
    </row>
    <row r="48" spans="1:9" x14ac:dyDescent="0.3">
      <c r="A48" s="2" t="s">
        <v>9</v>
      </c>
      <c r="B48" s="2" t="s">
        <v>44</v>
      </c>
      <c r="C48" s="2" t="s">
        <v>64</v>
      </c>
      <c r="D48" s="2" t="s">
        <v>61</v>
      </c>
      <c r="E48" s="2">
        <v>21.25</v>
      </c>
      <c r="F48" s="1">
        <v>46266</v>
      </c>
      <c r="G48" s="1"/>
      <c r="H48" s="1"/>
      <c r="I48" s="2"/>
    </row>
    <row r="49" spans="1:9" x14ac:dyDescent="0.3">
      <c r="A49" s="2" t="s">
        <v>9</v>
      </c>
      <c r="B49" s="2" t="s">
        <v>44</v>
      </c>
      <c r="C49" s="2" t="s">
        <v>65</v>
      </c>
      <c r="D49" s="2" t="s">
        <v>61</v>
      </c>
      <c r="E49" s="2">
        <v>20.48</v>
      </c>
      <c r="F49" s="1">
        <v>46023</v>
      </c>
      <c r="G49" s="1"/>
      <c r="H49" s="1"/>
      <c r="I49" s="2"/>
    </row>
    <row r="50" spans="1:9" x14ac:dyDescent="0.3">
      <c r="A50" s="2" t="s">
        <v>9</v>
      </c>
      <c r="B50" s="2" t="s">
        <v>44</v>
      </c>
      <c r="C50" s="2" t="s">
        <v>66</v>
      </c>
      <c r="D50" s="2" t="s">
        <v>67</v>
      </c>
      <c r="E50" s="2">
        <v>21.25</v>
      </c>
      <c r="F50" s="1">
        <v>44652</v>
      </c>
      <c r="G50" s="1"/>
      <c r="H50" s="1"/>
      <c r="I50" s="2"/>
    </row>
    <row r="51" spans="1:9" x14ac:dyDescent="0.3">
      <c r="A51" s="2" t="s">
        <v>9</v>
      </c>
      <c r="B51" s="2" t="s">
        <v>44</v>
      </c>
      <c r="C51" s="2" t="s">
        <v>68</v>
      </c>
      <c r="D51" s="2" t="s">
        <v>67</v>
      </c>
      <c r="E51" s="2">
        <v>11.4</v>
      </c>
      <c r="F51" s="1">
        <v>44562</v>
      </c>
      <c r="G51" s="1"/>
      <c r="H51" s="1"/>
      <c r="I51" s="2"/>
    </row>
    <row r="52" spans="1:9" x14ac:dyDescent="0.3">
      <c r="A52" s="2" t="s">
        <v>9</v>
      </c>
      <c r="B52" s="2" t="s">
        <v>44</v>
      </c>
      <c r="C52" s="2" t="s">
        <v>69</v>
      </c>
      <c r="D52" s="2" t="s">
        <v>67</v>
      </c>
      <c r="E52" s="2">
        <v>8</v>
      </c>
      <c r="F52" s="1">
        <v>44713</v>
      </c>
      <c r="G52" s="1"/>
      <c r="H52" s="1"/>
      <c r="I52" s="2"/>
    </row>
    <row r="53" spans="1:9" x14ac:dyDescent="0.3">
      <c r="A53" s="2" t="s">
        <v>9</v>
      </c>
      <c r="B53" s="2" t="s">
        <v>44</v>
      </c>
      <c r="C53" s="2" t="s">
        <v>70</v>
      </c>
      <c r="D53" s="2" t="s">
        <v>67</v>
      </c>
      <c r="E53" s="2">
        <v>8</v>
      </c>
      <c r="F53" s="1">
        <v>44166</v>
      </c>
      <c r="G53" s="1"/>
      <c r="H53" s="1"/>
      <c r="I53" s="2"/>
    </row>
    <row r="54" spans="1:9" x14ac:dyDescent="0.3">
      <c r="A54" s="2" t="s">
        <v>9</v>
      </c>
      <c r="B54" s="2" t="s">
        <v>44</v>
      </c>
      <c r="C54" s="2" t="s">
        <v>71</v>
      </c>
      <c r="D54" s="2" t="s">
        <v>67</v>
      </c>
      <c r="E54" s="2">
        <v>13.81</v>
      </c>
      <c r="F54" s="1">
        <v>44958</v>
      </c>
      <c r="G54" s="1"/>
      <c r="H54" s="1"/>
      <c r="I54" s="2"/>
    </row>
    <row r="55" spans="1:9" x14ac:dyDescent="0.3">
      <c r="A55" s="2" t="s">
        <v>9</v>
      </c>
      <c r="B55" s="2" t="s">
        <v>44</v>
      </c>
      <c r="C55" s="2" t="s">
        <v>72</v>
      </c>
      <c r="D55" s="2" t="s">
        <v>67</v>
      </c>
      <c r="E55" s="2">
        <v>21.25</v>
      </c>
      <c r="F55" s="1">
        <v>45261</v>
      </c>
      <c r="G55" s="1"/>
      <c r="H55" s="1"/>
      <c r="I55" s="2"/>
    </row>
    <row r="56" spans="1:9" x14ac:dyDescent="0.3">
      <c r="A56" s="2" t="s">
        <v>9</v>
      </c>
      <c r="B56" s="2" t="s">
        <v>44</v>
      </c>
      <c r="C56" s="2" t="s">
        <v>73</v>
      </c>
      <c r="D56" s="2" t="s">
        <v>67</v>
      </c>
      <c r="E56" s="2">
        <v>15.56</v>
      </c>
      <c r="F56" s="1">
        <v>45383</v>
      </c>
      <c r="G56" s="1"/>
      <c r="H56" s="1"/>
      <c r="I56" s="2"/>
    </row>
    <row r="57" spans="1:9" x14ac:dyDescent="0.3">
      <c r="A57" s="2" t="s">
        <v>9</v>
      </c>
      <c r="B57" s="2" t="s">
        <v>44</v>
      </c>
      <c r="C57" s="2" t="s">
        <v>74</v>
      </c>
      <c r="D57" s="2" t="s">
        <v>67</v>
      </c>
      <c r="E57" s="2">
        <v>8.1999999999999993</v>
      </c>
      <c r="F57" s="1">
        <v>45413</v>
      </c>
      <c r="G57" s="1"/>
      <c r="H57" s="1"/>
      <c r="I57" s="2"/>
    </row>
    <row r="58" spans="1:9" x14ac:dyDescent="0.3">
      <c r="A58" s="2" t="s">
        <v>9</v>
      </c>
      <c r="B58" s="2" t="s">
        <v>44</v>
      </c>
      <c r="C58" s="2" t="s">
        <v>75</v>
      </c>
      <c r="D58" s="2" t="s">
        <v>67</v>
      </c>
      <c r="E58" s="2">
        <v>4</v>
      </c>
      <c r="F58" s="1">
        <v>45474</v>
      </c>
      <c r="G58" s="1"/>
      <c r="H58" s="1"/>
      <c r="I58" s="2"/>
    </row>
    <row r="59" spans="1:9" x14ac:dyDescent="0.3">
      <c r="A59" s="2" t="s">
        <v>9</v>
      </c>
      <c r="B59" s="2" t="s">
        <v>44</v>
      </c>
      <c r="C59" s="2" t="s">
        <v>76</v>
      </c>
      <c r="D59" s="2" t="s">
        <v>67</v>
      </c>
      <c r="E59" s="2">
        <v>21.25</v>
      </c>
      <c r="F59" s="1">
        <v>45717</v>
      </c>
      <c r="G59" s="1"/>
      <c r="H59" s="1"/>
      <c r="I59" s="2"/>
    </row>
    <row r="60" spans="1:9" x14ac:dyDescent="0.3">
      <c r="A60" s="2" t="s">
        <v>9</v>
      </c>
      <c r="B60" s="2" t="s">
        <v>44</v>
      </c>
      <c r="C60" s="2" t="s">
        <v>77</v>
      </c>
      <c r="D60" s="2" t="s">
        <v>67</v>
      </c>
      <c r="E60" s="2">
        <v>21.25</v>
      </c>
      <c r="F60" s="1">
        <v>45809</v>
      </c>
      <c r="G60" s="1"/>
      <c r="H60" s="1"/>
      <c r="I60" s="2"/>
    </row>
    <row r="61" spans="1:9" x14ac:dyDescent="0.3">
      <c r="A61" s="2" t="s">
        <v>9</v>
      </c>
      <c r="B61" s="2" t="s">
        <v>44</v>
      </c>
      <c r="C61" s="2" t="s">
        <v>23</v>
      </c>
      <c r="D61" s="2" t="s">
        <v>67</v>
      </c>
      <c r="E61" s="2">
        <v>20</v>
      </c>
      <c r="F61" s="1">
        <v>45839</v>
      </c>
      <c r="G61" s="1"/>
      <c r="H61" s="1"/>
      <c r="I61" s="2"/>
    </row>
    <row r="62" spans="1:9" x14ac:dyDescent="0.3">
      <c r="A62" s="2" t="s">
        <v>9</v>
      </c>
      <c r="B62" s="2" t="s">
        <v>44</v>
      </c>
      <c r="C62" s="2" t="s">
        <v>78</v>
      </c>
      <c r="D62" s="2" t="s">
        <v>67</v>
      </c>
      <c r="E62" s="2">
        <v>19.54</v>
      </c>
      <c r="F62" s="1">
        <v>45870</v>
      </c>
      <c r="G62" s="1"/>
      <c r="H62" s="1"/>
      <c r="I62" s="2"/>
    </row>
    <row r="63" spans="1:9" x14ac:dyDescent="0.3">
      <c r="A63" s="2" t="s">
        <v>9</v>
      </c>
      <c r="B63" s="2" t="s">
        <v>44</v>
      </c>
      <c r="C63" s="2" t="s">
        <v>79</v>
      </c>
      <c r="D63" s="2" t="s">
        <v>67</v>
      </c>
      <c r="E63" s="2">
        <v>15</v>
      </c>
      <c r="F63" s="1">
        <v>45901</v>
      </c>
      <c r="G63" s="1"/>
      <c r="H63" s="1"/>
      <c r="I63" s="2"/>
    </row>
    <row r="64" spans="1:9" x14ac:dyDescent="0.3">
      <c r="A64" s="2" t="s">
        <v>9</v>
      </c>
      <c r="B64" s="2" t="s">
        <v>44</v>
      </c>
      <c r="C64" s="2" t="s">
        <v>80</v>
      </c>
      <c r="D64" s="2" t="s">
        <v>67</v>
      </c>
      <c r="E64" s="2">
        <v>21.25</v>
      </c>
      <c r="F64" s="1">
        <v>45992</v>
      </c>
      <c r="G64" s="1"/>
      <c r="H64" s="1"/>
      <c r="I64" s="2"/>
    </row>
    <row r="65" spans="1:9" x14ac:dyDescent="0.3">
      <c r="A65" s="2" t="s">
        <v>81</v>
      </c>
      <c r="B65" s="2" t="s">
        <v>10</v>
      </c>
      <c r="C65" s="2" t="s">
        <v>82</v>
      </c>
      <c r="D65" s="2" t="s">
        <v>12</v>
      </c>
      <c r="E65" s="2">
        <v>70</v>
      </c>
      <c r="F65" s="2" t="s">
        <v>83</v>
      </c>
      <c r="G65" s="2"/>
      <c r="H65" s="2"/>
      <c r="I65" s="2" t="s">
        <v>84</v>
      </c>
    </row>
    <row r="66" spans="1:9" x14ac:dyDescent="0.3">
      <c r="A66" s="2" t="s">
        <v>81</v>
      </c>
      <c r="B66" s="2" t="s">
        <v>10</v>
      </c>
      <c r="C66" s="2" t="s">
        <v>85</v>
      </c>
      <c r="D66" s="2" t="s">
        <v>12</v>
      </c>
      <c r="E66" s="2">
        <v>147.5</v>
      </c>
      <c r="F66" s="2" t="s">
        <v>83</v>
      </c>
      <c r="G66" s="2"/>
      <c r="H66" s="2"/>
      <c r="I66" s="2"/>
    </row>
    <row r="67" spans="1:9" x14ac:dyDescent="0.3">
      <c r="A67" s="2" t="s">
        <v>81</v>
      </c>
      <c r="B67" s="2" t="s">
        <v>10</v>
      </c>
      <c r="C67" s="2" t="s">
        <v>86</v>
      </c>
      <c r="D67" s="2" t="s">
        <v>12</v>
      </c>
      <c r="E67" s="2">
        <v>57</v>
      </c>
      <c r="F67" s="2" t="s">
        <v>83</v>
      </c>
      <c r="G67" s="2"/>
      <c r="H67" s="2"/>
      <c r="I67" s="2"/>
    </row>
    <row r="68" spans="1:9" x14ac:dyDescent="0.3">
      <c r="A68" s="2" t="s">
        <v>81</v>
      </c>
      <c r="B68" s="2" t="s">
        <v>10</v>
      </c>
      <c r="C68" s="2" t="s">
        <v>87</v>
      </c>
      <c r="D68" s="2" t="s">
        <v>12</v>
      </c>
      <c r="E68" s="2">
        <v>60</v>
      </c>
      <c r="F68" s="1">
        <v>46023</v>
      </c>
      <c r="G68" s="1"/>
      <c r="H68" s="1"/>
      <c r="I68" s="2"/>
    </row>
    <row r="69" spans="1:9" x14ac:dyDescent="0.3">
      <c r="A69" s="2" t="s">
        <v>81</v>
      </c>
      <c r="B69" s="2" t="s">
        <v>10</v>
      </c>
      <c r="C69" s="2" t="s">
        <v>88</v>
      </c>
      <c r="D69" s="2" t="s">
        <v>12</v>
      </c>
      <c r="E69" s="2">
        <v>300</v>
      </c>
      <c r="F69" s="2" t="s">
        <v>83</v>
      </c>
      <c r="G69" s="2"/>
      <c r="H69" s="2"/>
      <c r="I69" s="2"/>
    </row>
    <row r="70" spans="1:9" x14ac:dyDescent="0.3">
      <c r="A70" s="2" t="s">
        <v>81</v>
      </c>
      <c r="B70" s="2" t="s">
        <v>10</v>
      </c>
      <c r="C70" s="2" t="s">
        <v>89</v>
      </c>
      <c r="D70" s="2" t="s">
        <v>12</v>
      </c>
      <c r="E70" s="2">
        <v>90</v>
      </c>
      <c r="F70" s="2" t="s">
        <v>83</v>
      </c>
      <c r="G70" s="2"/>
      <c r="H70" s="2"/>
      <c r="I70" s="2"/>
    </row>
    <row r="71" spans="1:9" x14ac:dyDescent="0.3">
      <c r="A71" s="2" t="s">
        <v>81</v>
      </c>
      <c r="B71" s="2" t="s">
        <v>10</v>
      </c>
      <c r="C71" s="2" t="s">
        <v>90</v>
      </c>
      <c r="D71" s="2" t="s">
        <v>12</v>
      </c>
      <c r="E71" s="2">
        <v>35</v>
      </c>
      <c r="F71" s="1">
        <v>46539</v>
      </c>
      <c r="G71" s="1"/>
      <c r="H71" s="1"/>
      <c r="I71" s="2"/>
    </row>
    <row r="72" spans="1:9" x14ac:dyDescent="0.3">
      <c r="A72" s="2" t="s">
        <v>81</v>
      </c>
      <c r="B72" s="2" t="s">
        <v>10</v>
      </c>
      <c r="C72" s="2" t="s">
        <v>91</v>
      </c>
      <c r="D72" s="2" t="s">
        <v>12</v>
      </c>
      <c r="E72" s="2">
        <v>60</v>
      </c>
      <c r="F72" s="1">
        <v>46266</v>
      </c>
      <c r="G72" s="1"/>
      <c r="H72" s="1"/>
      <c r="I72" s="2"/>
    </row>
    <row r="73" spans="1:9" x14ac:dyDescent="0.3">
      <c r="A73" s="2" t="s">
        <v>81</v>
      </c>
      <c r="B73" s="2" t="s">
        <v>10</v>
      </c>
      <c r="C73" s="2" t="s">
        <v>92</v>
      </c>
      <c r="D73" s="2" t="s">
        <v>12</v>
      </c>
      <c r="E73" s="2">
        <v>69</v>
      </c>
      <c r="F73" s="1">
        <v>46419</v>
      </c>
      <c r="G73" s="1"/>
      <c r="H73" s="1"/>
      <c r="I73" s="2"/>
    </row>
    <row r="74" spans="1:9" x14ac:dyDescent="0.3">
      <c r="A74" s="2" t="s">
        <v>81</v>
      </c>
      <c r="B74" s="2" t="s">
        <v>10</v>
      </c>
      <c r="C74" s="2" t="s">
        <v>93</v>
      </c>
      <c r="D74" s="2" t="s">
        <v>12</v>
      </c>
      <c r="E74" s="2">
        <v>72</v>
      </c>
      <c r="F74" s="2" t="s">
        <v>83</v>
      </c>
      <c r="G74" s="2"/>
      <c r="H74" s="2"/>
      <c r="I74" s="2"/>
    </row>
    <row r="75" spans="1:9" x14ac:dyDescent="0.3">
      <c r="A75" s="2" t="s">
        <v>81</v>
      </c>
      <c r="B75" s="2" t="s">
        <v>10</v>
      </c>
      <c r="C75" s="2" t="s">
        <v>94</v>
      </c>
      <c r="D75" s="2" t="s">
        <v>12</v>
      </c>
      <c r="E75" s="2">
        <v>48</v>
      </c>
      <c r="F75" s="2" t="s">
        <v>83</v>
      </c>
      <c r="G75" s="2"/>
      <c r="H75" s="2"/>
      <c r="I75" s="2"/>
    </row>
    <row r="76" spans="1:9" x14ac:dyDescent="0.3">
      <c r="A76" s="2" t="s">
        <v>81</v>
      </c>
      <c r="B76" s="2" t="s">
        <v>10</v>
      </c>
      <c r="C76" s="2" t="s">
        <v>95</v>
      </c>
      <c r="D76" s="2" t="s">
        <v>12</v>
      </c>
      <c r="E76" s="2">
        <v>40</v>
      </c>
      <c r="F76" s="2" t="s">
        <v>83</v>
      </c>
      <c r="G76" s="2"/>
      <c r="H76" s="2"/>
      <c r="I76" s="2"/>
    </row>
    <row r="77" spans="1:9" x14ac:dyDescent="0.3">
      <c r="A77" s="2" t="s">
        <v>81</v>
      </c>
      <c r="B77" s="2" t="s">
        <v>10</v>
      </c>
      <c r="C77" s="2" t="s">
        <v>96</v>
      </c>
      <c r="D77" s="2" t="s">
        <v>12</v>
      </c>
      <c r="E77" s="2">
        <v>58.35</v>
      </c>
      <c r="F77" s="1">
        <v>46539</v>
      </c>
      <c r="G77" s="1"/>
      <c r="H77" s="1"/>
      <c r="I77" s="2"/>
    </row>
    <row r="78" spans="1:9" x14ac:dyDescent="0.3">
      <c r="A78" s="2" t="s">
        <v>81</v>
      </c>
      <c r="B78" s="2" t="s">
        <v>10</v>
      </c>
      <c r="C78" s="2" t="s">
        <v>97</v>
      </c>
      <c r="D78" s="2" t="s">
        <v>12</v>
      </c>
      <c r="E78" s="2">
        <v>155</v>
      </c>
      <c r="F78" s="1">
        <v>46569</v>
      </c>
      <c r="G78" s="1"/>
      <c r="H78" s="1"/>
      <c r="I78" s="2"/>
    </row>
    <row r="79" spans="1:9" x14ac:dyDescent="0.3">
      <c r="A79" s="2" t="s">
        <v>81</v>
      </c>
      <c r="B79" s="2" t="s">
        <v>10</v>
      </c>
      <c r="C79" s="2" t="s">
        <v>98</v>
      </c>
      <c r="D79" s="2" t="s">
        <v>54</v>
      </c>
      <c r="E79" s="2">
        <v>60</v>
      </c>
      <c r="F79" s="1">
        <v>46296</v>
      </c>
      <c r="G79" s="1"/>
      <c r="H79" s="1"/>
      <c r="I79" s="2"/>
    </row>
    <row r="80" spans="1:9" x14ac:dyDescent="0.3">
      <c r="A80" s="2" t="s">
        <v>81</v>
      </c>
      <c r="B80" s="2" t="s">
        <v>10</v>
      </c>
      <c r="C80" s="2" t="s">
        <v>99</v>
      </c>
      <c r="D80" s="2" t="s">
        <v>54</v>
      </c>
      <c r="E80" s="2">
        <v>26</v>
      </c>
      <c r="F80" s="1">
        <v>46174</v>
      </c>
      <c r="G80" s="1"/>
      <c r="H80" s="1"/>
      <c r="I80" s="2" t="s">
        <v>100</v>
      </c>
    </row>
    <row r="81" spans="1:9" x14ac:dyDescent="0.3">
      <c r="A81" s="2" t="s">
        <v>81</v>
      </c>
      <c r="B81" s="2" t="s">
        <v>10</v>
      </c>
      <c r="C81" s="2" t="s">
        <v>101</v>
      </c>
      <c r="D81" s="2" t="s">
        <v>54</v>
      </c>
      <c r="E81" s="2">
        <v>60</v>
      </c>
      <c r="F81" s="1">
        <v>46143</v>
      </c>
      <c r="G81" s="1"/>
      <c r="H81" s="1"/>
      <c r="I81" s="2"/>
    </row>
    <row r="82" spans="1:9" x14ac:dyDescent="0.3">
      <c r="A82" s="2" t="s">
        <v>81</v>
      </c>
      <c r="B82" s="2" t="s">
        <v>10</v>
      </c>
      <c r="C82" s="2" t="s">
        <v>102</v>
      </c>
      <c r="D82" s="2" t="s">
        <v>54</v>
      </c>
      <c r="E82" s="2">
        <v>220</v>
      </c>
      <c r="F82" s="2">
        <v>2028</v>
      </c>
      <c r="G82" s="2"/>
      <c r="H82" s="2"/>
      <c r="I82" s="2"/>
    </row>
    <row r="83" spans="1:9" x14ac:dyDescent="0.3">
      <c r="A83" s="2" t="s">
        <v>81</v>
      </c>
      <c r="B83" s="2" t="s">
        <v>10</v>
      </c>
      <c r="C83" s="2" t="s">
        <v>103</v>
      </c>
      <c r="D83" s="2" t="s">
        <v>104</v>
      </c>
      <c r="E83" s="2">
        <v>40</v>
      </c>
      <c r="F83" s="1">
        <v>46204</v>
      </c>
      <c r="G83" s="1"/>
      <c r="H83" s="1"/>
      <c r="I83" s="2"/>
    </row>
    <row r="84" spans="1:9" x14ac:dyDescent="0.3">
      <c r="A84" s="2" t="s">
        <v>81</v>
      </c>
      <c r="B84" s="2" t="s">
        <v>10</v>
      </c>
      <c r="C84" s="2" t="s">
        <v>105</v>
      </c>
      <c r="D84" s="2" t="s">
        <v>104</v>
      </c>
      <c r="E84" s="2">
        <v>45</v>
      </c>
      <c r="F84" s="2" t="s">
        <v>83</v>
      </c>
      <c r="G84" s="2"/>
      <c r="H84" s="2"/>
      <c r="I84" s="2" t="s">
        <v>106</v>
      </c>
    </row>
    <row r="85" spans="1:9" x14ac:dyDescent="0.3">
      <c r="A85" s="2" t="s">
        <v>81</v>
      </c>
      <c r="B85" s="2" t="s">
        <v>10</v>
      </c>
      <c r="C85" s="2" t="s">
        <v>107</v>
      </c>
      <c r="D85" s="2" t="s">
        <v>104</v>
      </c>
      <c r="E85" s="2">
        <v>45</v>
      </c>
      <c r="F85" s="1">
        <v>46204</v>
      </c>
      <c r="G85" s="1"/>
      <c r="H85" s="1"/>
      <c r="I85" s="2"/>
    </row>
    <row r="86" spans="1:9" x14ac:dyDescent="0.3">
      <c r="A86" s="2" t="s">
        <v>81</v>
      </c>
      <c r="B86" s="2" t="s">
        <v>10</v>
      </c>
      <c r="C86" s="2" t="s">
        <v>108</v>
      </c>
      <c r="D86" s="2" t="s">
        <v>104</v>
      </c>
      <c r="E86" s="2">
        <v>65</v>
      </c>
      <c r="F86" s="1">
        <v>46296</v>
      </c>
      <c r="G86" s="1"/>
      <c r="H86" s="1"/>
      <c r="I86" s="2"/>
    </row>
    <row r="87" spans="1:9" x14ac:dyDescent="0.3">
      <c r="A87" s="2" t="s">
        <v>81</v>
      </c>
      <c r="B87" s="2" t="s">
        <v>10</v>
      </c>
      <c r="C87" s="2" t="s">
        <v>109</v>
      </c>
      <c r="D87" s="2" t="s">
        <v>104</v>
      </c>
      <c r="E87" s="2">
        <v>51.5</v>
      </c>
      <c r="F87" s="1">
        <v>46388</v>
      </c>
      <c r="G87" s="1"/>
      <c r="H87" s="1"/>
      <c r="I87" s="2"/>
    </row>
    <row r="88" spans="1:9" x14ac:dyDescent="0.3">
      <c r="A88" s="2" t="s">
        <v>81</v>
      </c>
      <c r="B88" s="2" t="s">
        <v>10</v>
      </c>
      <c r="C88" s="2" t="s">
        <v>110</v>
      </c>
      <c r="D88" s="2" t="s">
        <v>67</v>
      </c>
      <c r="E88" s="2">
        <v>90</v>
      </c>
      <c r="F88" s="1">
        <v>45292</v>
      </c>
      <c r="G88" s="1"/>
      <c r="H88" s="1"/>
      <c r="I88" s="2"/>
    </row>
    <row r="89" spans="1:9" x14ac:dyDescent="0.3">
      <c r="A89" s="2" t="s">
        <v>81</v>
      </c>
      <c r="B89" s="2" t="s">
        <v>10</v>
      </c>
      <c r="C89" s="2" t="s">
        <v>111</v>
      </c>
      <c r="D89" s="2" t="s">
        <v>67</v>
      </c>
      <c r="E89" s="2">
        <v>90</v>
      </c>
      <c r="F89" s="2" t="s">
        <v>47</v>
      </c>
      <c r="G89" s="2"/>
      <c r="H89" s="2"/>
      <c r="I89" s="2" t="s">
        <v>112</v>
      </c>
    </row>
    <row r="90" spans="1:9" x14ac:dyDescent="0.3">
      <c r="A90" s="2" t="s">
        <v>81</v>
      </c>
      <c r="B90" s="2" t="s">
        <v>10</v>
      </c>
      <c r="C90" s="2" t="s">
        <v>113</v>
      </c>
      <c r="D90" s="2" t="s">
        <v>67</v>
      </c>
      <c r="E90" s="2">
        <v>70</v>
      </c>
      <c r="F90" s="2" t="s">
        <v>47</v>
      </c>
      <c r="G90" s="2"/>
      <c r="H90" s="2"/>
      <c r="I90" s="2"/>
    </row>
    <row r="91" spans="1:9" x14ac:dyDescent="0.3">
      <c r="A91" s="2" t="s">
        <v>81</v>
      </c>
      <c r="B91" s="2" t="s">
        <v>10</v>
      </c>
      <c r="C91" s="2" t="s">
        <v>114</v>
      </c>
      <c r="D91" s="2" t="s">
        <v>67</v>
      </c>
      <c r="E91" s="2">
        <v>130</v>
      </c>
      <c r="F91" s="1">
        <v>45292</v>
      </c>
      <c r="G91" s="1"/>
      <c r="H91" s="1"/>
      <c r="I91" s="2"/>
    </row>
    <row r="92" spans="1:9" x14ac:dyDescent="0.3">
      <c r="A92" s="2" t="s">
        <v>81</v>
      </c>
      <c r="B92" s="2" t="s">
        <v>10</v>
      </c>
      <c r="C92" s="2" t="s">
        <v>115</v>
      </c>
      <c r="D92" s="2" t="s">
        <v>67</v>
      </c>
      <c r="E92" s="2">
        <v>24</v>
      </c>
      <c r="F92" s="1">
        <v>45444</v>
      </c>
      <c r="G92" s="1"/>
      <c r="H92" s="1"/>
      <c r="I92" s="2"/>
    </row>
    <row r="93" spans="1:9" x14ac:dyDescent="0.3">
      <c r="A93" s="2" t="s">
        <v>81</v>
      </c>
      <c r="B93" s="2" t="s">
        <v>10</v>
      </c>
      <c r="C93" s="2" t="s">
        <v>116</v>
      </c>
      <c r="D93" s="2" t="s">
        <v>67</v>
      </c>
      <c r="E93" s="2">
        <v>110</v>
      </c>
      <c r="F93" s="1">
        <v>45444</v>
      </c>
      <c r="G93" s="1"/>
      <c r="H93" s="1"/>
      <c r="I93" s="2"/>
    </row>
    <row r="94" spans="1:9" x14ac:dyDescent="0.3">
      <c r="A94" s="2" t="s">
        <v>81</v>
      </c>
      <c r="B94" s="2" t="s">
        <v>10</v>
      </c>
      <c r="C94" s="2" t="s">
        <v>117</v>
      </c>
      <c r="D94" s="2" t="s">
        <v>67</v>
      </c>
      <c r="E94" s="2">
        <v>130</v>
      </c>
      <c r="F94" s="1">
        <v>45505</v>
      </c>
      <c r="G94" s="1"/>
      <c r="H94" s="1"/>
      <c r="I94" s="2"/>
    </row>
    <row r="95" spans="1:9" x14ac:dyDescent="0.3">
      <c r="A95" s="2" t="s">
        <v>81</v>
      </c>
      <c r="B95" s="2" t="s">
        <v>10</v>
      </c>
      <c r="C95" s="2" t="s">
        <v>118</v>
      </c>
      <c r="D95" s="2" t="s">
        <v>67</v>
      </c>
      <c r="E95" s="2">
        <v>117</v>
      </c>
      <c r="F95" s="1">
        <v>45627</v>
      </c>
      <c r="G95" s="1"/>
      <c r="H95" s="1"/>
      <c r="I95" s="2" t="s">
        <v>119</v>
      </c>
    </row>
    <row r="96" spans="1:9" x14ac:dyDescent="0.3">
      <c r="A96" s="2" t="s">
        <v>81</v>
      </c>
      <c r="B96" s="2" t="s">
        <v>10</v>
      </c>
      <c r="C96" s="2" t="s">
        <v>120</v>
      </c>
      <c r="D96" s="2" t="s">
        <v>67</v>
      </c>
      <c r="E96" s="2">
        <v>40</v>
      </c>
      <c r="F96" s="1">
        <v>45717</v>
      </c>
      <c r="G96" s="1"/>
      <c r="H96" s="1"/>
      <c r="I96" s="2"/>
    </row>
    <row r="97" spans="1:9" x14ac:dyDescent="0.3">
      <c r="A97" s="2" t="s">
        <v>81</v>
      </c>
      <c r="B97" s="2" t="s">
        <v>10</v>
      </c>
      <c r="C97" s="2" t="s">
        <v>121</v>
      </c>
      <c r="D97" s="2" t="s">
        <v>67</v>
      </c>
      <c r="E97" s="2">
        <v>52</v>
      </c>
      <c r="F97" s="1">
        <v>45901</v>
      </c>
      <c r="G97" s="1"/>
      <c r="H97" s="1"/>
      <c r="I97" s="2"/>
    </row>
    <row r="98" spans="1:9" x14ac:dyDescent="0.3">
      <c r="A98" s="2" t="s">
        <v>122</v>
      </c>
      <c r="B98" s="2" t="s">
        <v>10</v>
      </c>
      <c r="C98" s="2" t="s">
        <v>123</v>
      </c>
      <c r="D98" s="2" t="s">
        <v>12</v>
      </c>
      <c r="E98" s="2">
        <v>40</v>
      </c>
      <c r="F98" s="1">
        <v>46600</v>
      </c>
      <c r="G98" s="2"/>
      <c r="H98" s="2"/>
      <c r="I98" s="2"/>
    </row>
    <row r="99" spans="1:9" x14ac:dyDescent="0.3">
      <c r="A99" s="2" t="s">
        <v>122</v>
      </c>
      <c r="B99" s="2" t="s">
        <v>10</v>
      </c>
      <c r="C99" s="2" t="s">
        <v>124</v>
      </c>
      <c r="D99" s="2" t="s">
        <v>104</v>
      </c>
      <c r="E99" s="2">
        <v>45</v>
      </c>
      <c r="F99" s="1">
        <v>46692</v>
      </c>
      <c r="G99" s="1"/>
      <c r="H99" s="1"/>
      <c r="I99" s="2"/>
    </row>
    <row r="100" spans="1:9" x14ac:dyDescent="0.3">
      <c r="A100" s="2" t="s">
        <v>122</v>
      </c>
      <c r="B100" s="2" t="s">
        <v>10</v>
      </c>
      <c r="C100" s="2" t="s">
        <v>125</v>
      </c>
      <c r="D100" s="2" t="s">
        <v>67</v>
      </c>
      <c r="E100" s="2">
        <v>71</v>
      </c>
      <c r="F100" s="1">
        <v>45627</v>
      </c>
      <c r="G100" s="1"/>
      <c r="H100" s="1"/>
      <c r="I100" s="2"/>
    </row>
    <row r="101" spans="1:9" x14ac:dyDescent="0.3">
      <c r="A101" s="2" t="s">
        <v>122</v>
      </c>
      <c r="B101" s="2" t="s">
        <v>10</v>
      </c>
      <c r="C101" s="2" t="s">
        <v>126</v>
      </c>
      <c r="D101" s="2" t="s">
        <v>67</v>
      </c>
      <c r="E101" s="2">
        <v>23</v>
      </c>
      <c r="F101" s="1">
        <v>45778</v>
      </c>
      <c r="G101" s="1"/>
      <c r="H101" s="1"/>
      <c r="I101" s="2"/>
    </row>
    <row r="102" spans="1:9" x14ac:dyDescent="0.3">
      <c r="A102" s="2" t="s">
        <v>122</v>
      </c>
      <c r="B102" s="2" t="s">
        <v>44</v>
      </c>
      <c r="C102" s="2" t="s">
        <v>127</v>
      </c>
      <c r="D102" s="2" t="s">
        <v>12</v>
      </c>
      <c r="E102" s="2">
        <v>0.40500000000000003</v>
      </c>
      <c r="F102" s="2">
        <v>2026</v>
      </c>
      <c r="G102" s="2"/>
      <c r="H102" s="2"/>
      <c r="I102" s="2"/>
    </row>
    <row r="103" spans="1:9" x14ac:dyDescent="0.3">
      <c r="A103" s="2" t="s">
        <v>122</v>
      </c>
      <c r="B103" s="2" t="s">
        <v>44</v>
      </c>
      <c r="C103" s="2" t="s">
        <v>128</v>
      </c>
      <c r="D103" s="2" t="s">
        <v>12</v>
      </c>
      <c r="E103" s="2">
        <v>0.36</v>
      </c>
      <c r="F103" s="2">
        <v>2026</v>
      </c>
      <c r="G103" s="2"/>
      <c r="H103" s="2"/>
      <c r="I103" s="2"/>
    </row>
    <row r="104" spans="1:9" x14ac:dyDescent="0.3">
      <c r="A104" s="2" t="s">
        <v>122</v>
      </c>
      <c r="B104" s="2" t="s">
        <v>44</v>
      </c>
      <c r="C104" s="2" t="s">
        <v>129</v>
      </c>
      <c r="D104" s="2" t="s">
        <v>12</v>
      </c>
      <c r="E104" s="2">
        <v>0.44400000000000001</v>
      </c>
      <c r="F104" s="2">
        <v>2026</v>
      </c>
      <c r="G104" s="2"/>
      <c r="H104" s="2"/>
      <c r="I104" s="2"/>
    </row>
    <row r="105" spans="1:9" x14ac:dyDescent="0.3">
      <c r="A105" s="2" t="s">
        <v>122</v>
      </c>
      <c r="B105" s="2" t="s">
        <v>44</v>
      </c>
      <c r="C105" s="2" t="s">
        <v>130</v>
      </c>
      <c r="D105" s="2" t="s">
        <v>12</v>
      </c>
      <c r="E105" s="2">
        <v>0.34300000000000003</v>
      </c>
      <c r="F105" s="2">
        <v>2026</v>
      </c>
      <c r="G105" s="2"/>
      <c r="H105" s="2"/>
      <c r="I105" s="2"/>
    </row>
    <row r="106" spans="1:9" x14ac:dyDescent="0.3">
      <c r="A106" s="2" t="s">
        <v>122</v>
      </c>
      <c r="B106" s="2" t="s">
        <v>44</v>
      </c>
      <c r="C106" s="2" t="s">
        <v>131</v>
      </c>
      <c r="D106" s="2" t="s">
        <v>12</v>
      </c>
      <c r="E106" s="2">
        <v>0.34300000000000003</v>
      </c>
      <c r="F106" s="2">
        <v>2026</v>
      </c>
      <c r="G106" s="2"/>
      <c r="H106" s="2"/>
      <c r="I106" s="2"/>
    </row>
    <row r="107" spans="1:9" x14ac:dyDescent="0.3">
      <c r="A107" s="2" t="s">
        <v>122</v>
      </c>
      <c r="B107" s="2" t="s">
        <v>44</v>
      </c>
      <c r="C107" s="2" t="s">
        <v>132</v>
      </c>
      <c r="D107" s="2" t="s">
        <v>12</v>
      </c>
      <c r="E107" s="2">
        <v>0.45700000000000002</v>
      </c>
      <c r="F107" s="2">
        <v>2026</v>
      </c>
      <c r="G107" s="2"/>
      <c r="H107" s="2"/>
      <c r="I107" s="2"/>
    </row>
    <row r="108" spans="1:9" x14ac:dyDescent="0.3">
      <c r="A108" s="2" t="s">
        <v>122</v>
      </c>
      <c r="B108" s="2" t="s">
        <v>44</v>
      </c>
      <c r="C108" s="2" t="s">
        <v>133</v>
      </c>
      <c r="D108" s="2" t="s">
        <v>56</v>
      </c>
      <c r="E108" s="2">
        <v>0.41499999999999998</v>
      </c>
      <c r="F108" s="2">
        <v>2026</v>
      </c>
      <c r="G108" s="2"/>
      <c r="H108" s="2"/>
      <c r="I108" s="2"/>
    </row>
    <row r="109" spans="1:9" x14ac:dyDescent="0.3">
      <c r="A109" s="2" t="s">
        <v>122</v>
      </c>
      <c r="B109" s="2" t="s">
        <v>44</v>
      </c>
      <c r="C109" s="2" t="s">
        <v>134</v>
      </c>
      <c r="D109" s="2" t="s">
        <v>61</v>
      </c>
      <c r="E109" s="2">
        <v>0.08</v>
      </c>
      <c r="F109" s="1">
        <v>46357</v>
      </c>
      <c r="G109" s="1"/>
      <c r="H109" s="1"/>
      <c r="I109" s="2"/>
    </row>
    <row r="110" spans="1:9" x14ac:dyDescent="0.3">
      <c r="A110" s="2" t="s">
        <v>122</v>
      </c>
      <c r="B110" s="2" t="s">
        <v>44</v>
      </c>
      <c r="C110" s="2" t="s">
        <v>135</v>
      </c>
      <c r="D110" s="2" t="s">
        <v>61</v>
      </c>
      <c r="E110" s="2">
        <v>0.16</v>
      </c>
      <c r="F110" s="1">
        <v>46204</v>
      </c>
      <c r="G110" s="1"/>
      <c r="H110" s="1"/>
      <c r="I110" s="2"/>
    </row>
    <row r="111" spans="1:9" x14ac:dyDescent="0.3">
      <c r="A111" s="2" t="s">
        <v>122</v>
      </c>
      <c r="B111" s="2" t="s">
        <v>44</v>
      </c>
      <c r="C111" s="2" t="s">
        <v>136</v>
      </c>
      <c r="D111" s="2" t="s">
        <v>61</v>
      </c>
      <c r="E111" s="2">
        <v>0.22800000000000001</v>
      </c>
      <c r="F111" s="1">
        <v>46082</v>
      </c>
      <c r="G111" s="1"/>
      <c r="H111" s="1"/>
      <c r="I111" s="2"/>
    </row>
    <row r="112" spans="1:9" x14ac:dyDescent="0.3">
      <c r="A112" s="2" t="s">
        <v>122</v>
      </c>
      <c r="B112" s="2" t="s">
        <v>44</v>
      </c>
      <c r="C112" s="2" t="s">
        <v>137</v>
      </c>
      <c r="D112" s="2" t="s">
        <v>61</v>
      </c>
      <c r="E112" s="2">
        <v>0.6</v>
      </c>
      <c r="F112" s="1">
        <v>46082</v>
      </c>
      <c r="G112" s="1"/>
      <c r="H112" s="1"/>
      <c r="I112" s="2"/>
    </row>
    <row r="113" spans="1:9" x14ac:dyDescent="0.3">
      <c r="A113" s="2" t="s">
        <v>122</v>
      </c>
      <c r="B113" s="2" t="s">
        <v>44</v>
      </c>
      <c r="C113" s="2" t="s">
        <v>138</v>
      </c>
      <c r="D113" s="2" t="s">
        <v>61</v>
      </c>
      <c r="E113" s="2">
        <v>1.17</v>
      </c>
      <c r="F113" s="1">
        <v>46357</v>
      </c>
      <c r="G113" s="1"/>
      <c r="H113" s="1"/>
      <c r="I113" s="2"/>
    </row>
    <row r="114" spans="1:9" x14ac:dyDescent="0.3">
      <c r="A114" s="2" t="s">
        <v>122</v>
      </c>
      <c r="B114" s="2" t="s">
        <v>44</v>
      </c>
      <c r="C114" s="2" t="s">
        <v>139</v>
      </c>
      <c r="D114" s="2" t="s">
        <v>61</v>
      </c>
      <c r="E114" s="2">
        <v>0.58499999999999996</v>
      </c>
      <c r="F114" s="1">
        <v>46143</v>
      </c>
      <c r="G114" s="1"/>
      <c r="H114" s="1"/>
      <c r="I114" s="2"/>
    </row>
    <row r="115" spans="1:9" x14ac:dyDescent="0.3">
      <c r="A115" s="2" t="s">
        <v>122</v>
      </c>
      <c r="B115" s="2" t="s">
        <v>44</v>
      </c>
      <c r="C115" s="2" t="s">
        <v>140</v>
      </c>
      <c r="D115" s="2" t="s">
        <v>61</v>
      </c>
      <c r="E115" s="2">
        <v>3.1</v>
      </c>
      <c r="F115" s="1">
        <v>46357</v>
      </c>
      <c r="G115" s="1"/>
      <c r="H115" s="1"/>
      <c r="I115" s="2"/>
    </row>
    <row r="116" spans="1:9" x14ac:dyDescent="0.3">
      <c r="A116" s="2" t="s">
        <v>122</v>
      </c>
      <c r="B116" s="2" t="s">
        <v>44</v>
      </c>
      <c r="C116" s="2" t="s">
        <v>141</v>
      </c>
      <c r="D116" s="2" t="s">
        <v>61</v>
      </c>
      <c r="E116" s="2">
        <v>0.25</v>
      </c>
      <c r="F116" s="1">
        <v>46143</v>
      </c>
      <c r="G116" s="1"/>
      <c r="H116" s="1"/>
      <c r="I116" s="2"/>
    </row>
    <row r="117" spans="1:9" x14ac:dyDescent="0.3">
      <c r="A117" s="2" t="s">
        <v>122</v>
      </c>
      <c r="B117" s="2" t="s">
        <v>44</v>
      </c>
      <c r="C117" s="2" t="s">
        <v>142</v>
      </c>
      <c r="D117" s="2" t="s">
        <v>61</v>
      </c>
      <c r="E117" s="2">
        <v>0.63</v>
      </c>
      <c r="F117" s="1">
        <v>46174</v>
      </c>
      <c r="G117" s="1"/>
      <c r="H117" s="1"/>
      <c r="I117" s="2"/>
    </row>
    <row r="118" spans="1:9" x14ac:dyDescent="0.3">
      <c r="A118" s="2" t="s">
        <v>122</v>
      </c>
      <c r="B118" s="2" t="s">
        <v>44</v>
      </c>
      <c r="C118" s="2" t="s">
        <v>143</v>
      </c>
      <c r="D118" s="2" t="s">
        <v>61</v>
      </c>
      <c r="E118" s="2">
        <v>0.80400000000000005</v>
      </c>
      <c r="F118" s="1">
        <v>46082</v>
      </c>
      <c r="G118" s="1"/>
      <c r="H118" s="1"/>
      <c r="I118" s="2"/>
    </row>
    <row r="119" spans="1:9" x14ac:dyDescent="0.3">
      <c r="A119" s="2" t="s">
        <v>122</v>
      </c>
      <c r="B119" s="2" t="s">
        <v>44</v>
      </c>
      <c r="C119" s="2" t="s">
        <v>144</v>
      </c>
      <c r="D119" s="2" t="s">
        <v>61</v>
      </c>
      <c r="E119" s="2">
        <v>1.1000000000000001</v>
      </c>
      <c r="F119" s="1">
        <v>46357</v>
      </c>
      <c r="G119" s="1"/>
      <c r="H119" s="1"/>
      <c r="I119" s="2"/>
    </row>
    <row r="120" spans="1:9" x14ac:dyDescent="0.3">
      <c r="A120" s="2" t="s">
        <v>122</v>
      </c>
      <c r="B120" s="2" t="s">
        <v>44</v>
      </c>
      <c r="C120" s="2" t="s">
        <v>145</v>
      </c>
      <c r="D120" s="2" t="s">
        <v>61</v>
      </c>
      <c r="E120" s="2">
        <v>4.09</v>
      </c>
      <c r="F120" s="1">
        <v>46143</v>
      </c>
      <c r="G120" s="1"/>
      <c r="H120" s="1"/>
      <c r="I120" s="2"/>
    </row>
    <row r="121" spans="1:9" x14ac:dyDescent="0.3">
      <c r="A121" s="2" t="s">
        <v>122</v>
      </c>
      <c r="B121" s="2" t="s">
        <v>44</v>
      </c>
      <c r="C121" s="2" t="s">
        <v>146</v>
      </c>
      <c r="D121" s="2" t="s">
        <v>61</v>
      </c>
      <c r="E121" s="2">
        <v>1.39</v>
      </c>
      <c r="F121" s="1">
        <v>46143</v>
      </c>
      <c r="G121" s="1"/>
      <c r="H121" s="1"/>
      <c r="I121" s="2"/>
    </row>
    <row r="122" spans="1:9" x14ac:dyDescent="0.3">
      <c r="A122" s="2" t="s">
        <v>122</v>
      </c>
      <c r="B122" s="2" t="s">
        <v>44</v>
      </c>
      <c r="C122" s="2" t="s">
        <v>147</v>
      </c>
      <c r="D122" s="2" t="s">
        <v>61</v>
      </c>
      <c r="E122" s="2">
        <v>1.37</v>
      </c>
      <c r="F122" s="1">
        <v>46113</v>
      </c>
      <c r="G122" s="1"/>
      <c r="H122" s="1"/>
      <c r="I122" s="2"/>
    </row>
    <row r="123" spans="1:9" x14ac:dyDescent="0.3">
      <c r="A123" s="2" t="s">
        <v>122</v>
      </c>
      <c r="B123" s="2" t="s">
        <v>44</v>
      </c>
      <c r="C123" s="2" t="s">
        <v>148</v>
      </c>
      <c r="D123" s="2" t="s">
        <v>61</v>
      </c>
      <c r="E123" s="2">
        <v>0.62</v>
      </c>
      <c r="F123" s="1">
        <v>46082</v>
      </c>
      <c r="G123" s="1"/>
      <c r="H123" s="1"/>
      <c r="I123" s="2"/>
    </row>
    <row r="124" spans="1:9" x14ac:dyDescent="0.3">
      <c r="A124" s="2" t="s">
        <v>122</v>
      </c>
      <c r="B124" s="2" t="s">
        <v>44</v>
      </c>
      <c r="C124" s="2" t="s">
        <v>86</v>
      </c>
      <c r="D124" s="2" t="s">
        <v>61</v>
      </c>
      <c r="E124" s="2">
        <v>0.67</v>
      </c>
      <c r="F124" s="1">
        <v>46082</v>
      </c>
      <c r="G124" s="1"/>
      <c r="H124" s="1"/>
      <c r="I124" s="2"/>
    </row>
    <row r="125" spans="1:9" x14ac:dyDescent="0.3">
      <c r="A125" s="2" t="s">
        <v>122</v>
      </c>
      <c r="B125" s="2" t="s">
        <v>44</v>
      </c>
      <c r="C125" s="2" t="s">
        <v>149</v>
      </c>
      <c r="D125" s="2" t="s">
        <v>61</v>
      </c>
      <c r="E125" s="2">
        <v>2.3199999999999998</v>
      </c>
      <c r="F125" s="1">
        <v>46174</v>
      </c>
      <c r="G125" s="1"/>
      <c r="H125" s="1"/>
      <c r="I125" s="2"/>
    </row>
    <row r="126" spans="1:9" x14ac:dyDescent="0.3">
      <c r="A126" s="2" t="s">
        <v>122</v>
      </c>
      <c r="B126" s="2" t="s">
        <v>44</v>
      </c>
      <c r="C126" s="2" t="s">
        <v>150</v>
      </c>
      <c r="D126" s="2" t="s">
        <v>61</v>
      </c>
      <c r="E126" s="2">
        <v>0.43</v>
      </c>
      <c r="F126" s="1">
        <v>46082</v>
      </c>
      <c r="G126" s="1"/>
      <c r="H126" s="1"/>
      <c r="I126" s="2"/>
    </row>
    <row r="127" spans="1:9" x14ac:dyDescent="0.3">
      <c r="A127" s="2" t="s">
        <v>122</v>
      </c>
      <c r="B127" s="2" t="s">
        <v>44</v>
      </c>
      <c r="C127" s="2" t="s">
        <v>151</v>
      </c>
      <c r="D127" s="2" t="s">
        <v>61</v>
      </c>
      <c r="E127" s="2">
        <v>0.34</v>
      </c>
      <c r="F127" s="1">
        <v>46082</v>
      </c>
      <c r="G127" s="1"/>
      <c r="H127" s="1"/>
      <c r="I127" s="2"/>
    </row>
    <row r="128" spans="1:9" x14ac:dyDescent="0.3">
      <c r="A128" s="2" t="s">
        <v>122</v>
      </c>
      <c r="B128" s="2" t="s">
        <v>44</v>
      </c>
      <c r="C128" s="2" t="s">
        <v>152</v>
      </c>
      <c r="D128" s="2" t="s">
        <v>61</v>
      </c>
      <c r="E128" s="2">
        <v>0.1</v>
      </c>
      <c r="F128" s="1">
        <v>46082</v>
      </c>
      <c r="G128" s="1"/>
      <c r="H128" s="1"/>
      <c r="I128" s="2"/>
    </row>
    <row r="129" spans="1:9" x14ac:dyDescent="0.3">
      <c r="A129" s="2" t="s">
        <v>122</v>
      </c>
      <c r="B129" s="2" t="s">
        <v>44</v>
      </c>
      <c r="C129" s="2" t="s">
        <v>153</v>
      </c>
      <c r="D129" s="2" t="s">
        <v>61</v>
      </c>
      <c r="E129" s="2">
        <v>0.68</v>
      </c>
      <c r="F129" s="1">
        <v>46082</v>
      </c>
      <c r="G129" s="1"/>
      <c r="H129" s="1"/>
      <c r="I129" s="2"/>
    </row>
    <row r="130" spans="1:9" x14ac:dyDescent="0.3">
      <c r="A130" s="2" t="s">
        <v>122</v>
      </c>
      <c r="B130" s="2" t="s">
        <v>44</v>
      </c>
      <c r="C130" s="2" t="s">
        <v>154</v>
      </c>
      <c r="D130" s="2" t="s">
        <v>61</v>
      </c>
      <c r="E130" s="2">
        <v>0.17</v>
      </c>
      <c r="F130" s="1">
        <v>46174</v>
      </c>
      <c r="G130" s="1"/>
      <c r="H130" s="1"/>
      <c r="I130" s="2"/>
    </row>
    <row r="131" spans="1:9" x14ac:dyDescent="0.3">
      <c r="A131" s="2" t="s">
        <v>122</v>
      </c>
      <c r="B131" s="2" t="s">
        <v>44</v>
      </c>
      <c r="C131" s="2" t="s">
        <v>155</v>
      </c>
      <c r="D131" s="2" t="s">
        <v>61</v>
      </c>
      <c r="E131" s="2">
        <v>0.36</v>
      </c>
      <c r="F131" s="1">
        <v>46082</v>
      </c>
      <c r="G131" s="1"/>
      <c r="H131" s="1"/>
      <c r="I131" s="2"/>
    </row>
    <row r="132" spans="1:9" x14ac:dyDescent="0.3">
      <c r="A132" s="2" t="s">
        <v>122</v>
      </c>
      <c r="B132" s="2" t="s">
        <v>44</v>
      </c>
      <c r="C132" s="2" t="s">
        <v>156</v>
      </c>
      <c r="D132" s="2" t="s">
        <v>67</v>
      </c>
      <c r="E132" s="2">
        <v>0.38200000000000001</v>
      </c>
      <c r="F132" s="1">
        <v>45292</v>
      </c>
      <c r="G132" s="1"/>
      <c r="H132" s="1"/>
      <c r="I132" s="2"/>
    </row>
    <row r="133" spans="1:9" x14ac:dyDescent="0.3">
      <c r="A133" s="2" t="s">
        <v>122</v>
      </c>
      <c r="B133" s="2" t="s">
        <v>44</v>
      </c>
      <c r="C133" s="2" t="s">
        <v>157</v>
      </c>
      <c r="D133" s="2" t="s">
        <v>67</v>
      </c>
      <c r="E133" s="2">
        <v>0.58199999999999996</v>
      </c>
      <c r="F133" s="1">
        <v>45444</v>
      </c>
      <c r="G133" s="1"/>
      <c r="H133" s="1"/>
      <c r="I133" s="2"/>
    </row>
    <row r="134" spans="1:9" x14ac:dyDescent="0.3">
      <c r="A134" s="2" t="s">
        <v>122</v>
      </c>
      <c r="B134" s="2" t="s">
        <v>44</v>
      </c>
      <c r="C134" s="2" t="s">
        <v>158</v>
      </c>
      <c r="D134" s="2" t="s">
        <v>67</v>
      </c>
      <c r="E134" s="2">
        <v>0.64800000000000002</v>
      </c>
      <c r="F134" s="1">
        <v>45444</v>
      </c>
      <c r="G134" s="1"/>
      <c r="H134" s="1"/>
      <c r="I134" s="2"/>
    </row>
    <row r="135" spans="1:9" x14ac:dyDescent="0.3">
      <c r="A135" s="2" t="s">
        <v>122</v>
      </c>
      <c r="B135" s="2" t="s">
        <v>44</v>
      </c>
      <c r="C135" s="2" t="s">
        <v>159</v>
      </c>
      <c r="D135" s="2" t="s">
        <v>67</v>
      </c>
      <c r="E135" s="2">
        <v>0.53</v>
      </c>
      <c r="F135" s="1">
        <v>45444</v>
      </c>
      <c r="G135" s="1"/>
      <c r="H135" s="1"/>
      <c r="I135" s="2"/>
    </row>
    <row r="136" spans="1:9" x14ac:dyDescent="0.3">
      <c r="A136" s="2" t="s">
        <v>122</v>
      </c>
      <c r="B136" s="2" t="s">
        <v>44</v>
      </c>
      <c r="C136" s="2" t="s">
        <v>160</v>
      </c>
      <c r="D136" s="2" t="s">
        <v>67</v>
      </c>
      <c r="E136" s="2">
        <v>2.4</v>
      </c>
      <c r="F136" s="1">
        <v>45444</v>
      </c>
      <c r="G136" s="1"/>
      <c r="H136" s="1"/>
      <c r="I136" s="2"/>
    </row>
    <row r="137" spans="1:9" x14ac:dyDescent="0.3">
      <c r="A137" s="2" t="s">
        <v>122</v>
      </c>
      <c r="B137" s="2" t="s">
        <v>44</v>
      </c>
      <c r="C137" s="2" t="s">
        <v>161</v>
      </c>
      <c r="D137" s="2" t="s">
        <v>67</v>
      </c>
      <c r="E137" s="2">
        <v>0.55000000000000004</v>
      </c>
      <c r="F137" s="1">
        <v>45474</v>
      </c>
      <c r="G137" s="1"/>
      <c r="H137" s="1"/>
      <c r="I137" s="2"/>
    </row>
    <row r="138" spans="1:9" x14ac:dyDescent="0.3">
      <c r="A138" s="2" t="s">
        <v>122</v>
      </c>
      <c r="B138" s="2" t="s">
        <v>44</v>
      </c>
      <c r="C138" s="2" t="s">
        <v>162</v>
      </c>
      <c r="D138" s="2" t="s">
        <v>67</v>
      </c>
      <c r="E138" s="2">
        <v>0.52</v>
      </c>
      <c r="F138" s="1">
        <v>45474</v>
      </c>
      <c r="G138" s="1"/>
      <c r="H138" s="1"/>
      <c r="I138" s="2"/>
    </row>
    <row r="139" spans="1:9" x14ac:dyDescent="0.3">
      <c r="A139" s="2" t="s">
        <v>122</v>
      </c>
      <c r="B139" s="2" t="s">
        <v>44</v>
      </c>
      <c r="C139" s="2" t="s">
        <v>163</v>
      </c>
      <c r="D139" s="2" t="s">
        <v>67</v>
      </c>
      <c r="E139" s="2">
        <v>0.2</v>
      </c>
      <c r="F139" s="1">
        <v>45505</v>
      </c>
      <c r="G139" s="1"/>
      <c r="H139" s="1"/>
      <c r="I139" s="2"/>
    </row>
    <row r="140" spans="1:9" x14ac:dyDescent="0.3">
      <c r="A140" s="2" t="s">
        <v>122</v>
      </c>
      <c r="B140" s="2" t="s">
        <v>44</v>
      </c>
      <c r="C140" s="2" t="s">
        <v>164</v>
      </c>
      <c r="D140" s="2" t="s">
        <v>67</v>
      </c>
      <c r="E140" s="2">
        <v>4.08</v>
      </c>
      <c r="F140" s="1">
        <v>45352</v>
      </c>
      <c r="G140" s="1"/>
      <c r="H140" s="1"/>
      <c r="I140" s="2"/>
    </row>
    <row r="141" spans="1:9" x14ac:dyDescent="0.3">
      <c r="A141" s="2" t="s">
        <v>122</v>
      </c>
      <c r="B141" s="2" t="s">
        <v>44</v>
      </c>
      <c r="C141" s="2" t="s">
        <v>165</v>
      </c>
      <c r="D141" s="2" t="s">
        <v>67</v>
      </c>
      <c r="E141" s="2">
        <v>0.26</v>
      </c>
      <c r="F141" s="1">
        <v>45536</v>
      </c>
      <c r="G141" s="1"/>
      <c r="H141" s="1"/>
      <c r="I141" s="2"/>
    </row>
    <row r="142" spans="1:9" x14ac:dyDescent="0.3">
      <c r="A142" s="2" t="s">
        <v>122</v>
      </c>
      <c r="B142" s="2" t="s">
        <v>44</v>
      </c>
      <c r="C142" s="2" t="s">
        <v>166</v>
      </c>
      <c r="D142" s="2" t="s">
        <v>67</v>
      </c>
      <c r="E142" s="2">
        <v>1.427</v>
      </c>
      <c r="F142" s="1">
        <v>45536</v>
      </c>
      <c r="G142" s="1"/>
      <c r="H142" s="1"/>
      <c r="I142" s="2"/>
    </row>
    <row r="143" spans="1:9" x14ac:dyDescent="0.3">
      <c r="A143" s="2" t="s">
        <v>122</v>
      </c>
      <c r="B143" s="2" t="s">
        <v>44</v>
      </c>
      <c r="C143" s="2" t="s">
        <v>167</v>
      </c>
      <c r="D143" s="2" t="s">
        <v>67</v>
      </c>
      <c r="E143" s="2">
        <v>0.38</v>
      </c>
      <c r="F143" s="1">
        <v>45566</v>
      </c>
      <c r="G143" s="1"/>
      <c r="H143" s="1"/>
      <c r="I143" s="2"/>
    </row>
    <row r="144" spans="1:9" x14ac:dyDescent="0.3">
      <c r="A144" s="2" t="s">
        <v>122</v>
      </c>
      <c r="B144" s="2" t="s">
        <v>44</v>
      </c>
      <c r="C144" s="2" t="s">
        <v>168</v>
      </c>
      <c r="D144" s="2" t="s">
        <v>67</v>
      </c>
      <c r="E144" s="2">
        <v>0.28000000000000003</v>
      </c>
      <c r="F144" s="1">
        <v>45566</v>
      </c>
      <c r="G144" s="1"/>
      <c r="H144" s="1"/>
      <c r="I144" s="2"/>
    </row>
    <row r="145" spans="1:9" x14ac:dyDescent="0.3">
      <c r="A145" s="2" t="s">
        <v>122</v>
      </c>
      <c r="B145" s="2" t="s">
        <v>44</v>
      </c>
      <c r="C145" s="2" t="s">
        <v>169</v>
      </c>
      <c r="D145" s="2" t="s">
        <v>67</v>
      </c>
      <c r="E145" s="2">
        <v>2.2000000000000002</v>
      </c>
      <c r="F145" s="1">
        <v>45566</v>
      </c>
      <c r="G145" s="1"/>
      <c r="H145" s="1"/>
      <c r="I145" s="2"/>
    </row>
    <row r="146" spans="1:9" x14ac:dyDescent="0.3">
      <c r="A146" s="2" t="s">
        <v>122</v>
      </c>
      <c r="B146" s="2" t="s">
        <v>44</v>
      </c>
      <c r="C146" s="2" t="s">
        <v>170</v>
      </c>
      <c r="D146" s="2" t="s">
        <v>67</v>
      </c>
      <c r="E146" s="2">
        <v>6.7000000000000004E-2</v>
      </c>
      <c r="F146" s="1">
        <v>45566</v>
      </c>
      <c r="G146" s="1"/>
      <c r="H146" s="1"/>
      <c r="I146" s="2"/>
    </row>
    <row r="147" spans="1:9" x14ac:dyDescent="0.3">
      <c r="A147" s="2" t="s">
        <v>122</v>
      </c>
      <c r="B147" s="2" t="s">
        <v>44</v>
      </c>
      <c r="C147" s="2" t="s">
        <v>171</v>
      </c>
      <c r="D147" s="2" t="s">
        <v>67</v>
      </c>
      <c r="E147" s="2">
        <v>0.54200000000000004</v>
      </c>
      <c r="F147" s="1">
        <v>45566</v>
      </c>
      <c r="G147" s="1"/>
      <c r="H147" s="1"/>
      <c r="I147" s="2"/>
    </row>
    <row r="148" spans="1:9" x14ac:dyDescent="0.3">
      <c r="A148" s="2" t="s">
        <v>122</v>
      </c>
      <c r="B148" s="2" t="s">
        <v>44</v>
      </c>
      <c r="C148" s="2" t="s">
        <v>172</v>
      </c>
      <c r="D148" s="2" t="s">
        <v>67</v>
      </c>
      <c r="E148" s="2">
        <v>1.3</v>
      </c>
      <c r="F148" s="1">
        <v>45566</v>
      </c>
      <c r="G148" s="1"/>
      <c r="H148" s="1"/>
      <c r="I148" s="2"/>
    </row>
    <row r="149" spans="1:9" x14ac:dyDescent="0.3">
      <c r="A149" s="2" t="s">
        <v>122</v>
      </c>
      <c r="B149" s="2" t="s">
        <v>44</v>
      </c>
      <c r="C149" s="2" t="s">
        <v>173</v>
      </c>
      <c r="D149" s="2" t="s">
        <v>67</v>
      </c>
      <c r="E149" s="2">
        <v>0.107</v>
      </c>
      <c r="F149" s="1">
        <v>45658</v>
      </c>
      <c r="G149" s="1"/>
      <c r="H149" s="1"/>
      <c r="I149" s="2"/>
    </row>
    <row r="150" spans="1:9" x14ac:dyDescent="0.3">
      <c r="A150" s="2" t="s">
        <v>122</v>
      </c>
      <c r="B150" s="2" t="s">
        <v>44</v>
      </c>
      <c r="C150" s="2" t="s">
        <v>174</v>
      </c>
      <c r="D150" s="2" t="s">
        <v>67</v>
      </c>
      <c r="E150" s="2">
        <v>0.72</v>
      </c>
      <c r="F150" s="1">
        <v>45627</v>
      </c>
      <c r="G150" s="1"/>
      <c r="H150" s="1"/>
      <c r="I150" s="2"/>
    </row>
    <row r="151" spans="1:9" x14ac:dyDescent="0.3">
      <c r="A151" s="2" t="s">
        <v>122</v>
      </c>
      <c r="B151" s="2" t="s">
        <v>44</v>
      </c>
      <c r="C151" s="2" t="s">
        <v>175</v>
      </c>
      <c r="D151" s="2" t="s">
        <v>67</v>
      </c>
      <c r="E151" s="2">
        <v>0.127</v>
      </c>
      <c r="F151" s="1">
        <v>45627</v>
      </c>
      <c r="G151" s="1"/>
      <c r="H151" s="1"/>
      <c r="I151" s="2"/>
    </row>
    <row r="152" spans="1:9" x14ac:dyDescent="0.3">
      <c r="A152" s="2" t="s">
        <v>122</v>
      </c>
      <c r="B152" s="2" t="s">
        <v>44</v>
      </c>
      <c r="C152" s="2" t="s">
        <v>176</v>
      </c>
      <c r="D152" s="2" t="s">
        <v>67</v>
      </c>
      <c r="E152" s="2">
        <v>0.20899999999999999</v>
      </c>
      <c r="F152" s="1">
        <v>45597</v>
      </c>
      <c r="G152" s="1"/>
      <c r="H152" s="1"/>
      <c r="I152" s="2"/>
    </row>
    <row r="153" spans="1:9" x14ac:dyDescent="0.3">
      <c r="A153" s="2" t="s">
        <v>122</v>
      </c>
      <c r="B153" s="2" t="s">
        <v>44</v>
      </c>
      <c r="C153" s="2" t="s">
        <v>177</v>
      </c>
      <c r="D153" s="2" t="s">
        <v>67</v>
      </c>
      <c r="E153" s="2">
        <v>0.72799999999999998</v>
      </c>
      <c r="F153" s="1">
        <v>45627</v>
      </c>
      <c r="G153" s="1"/>
      <c r="H153" s="1"/>
      <c r="I153" s="2"/>
    </row>
    <row r="154" spans="1:9" x14ac:dyDescent="0.3">
      <c r="A154" s="2" t="s">
        <v>122</v>
      </c>
      <c r="B154" s="2" t="s">
        <v>44</v>
      </c>
      <c r="C154" s="2" t="s">
        <v>178</v>
      </c>
      <c r="D154" s="2" t="s">
        <v>67</v>
      </c>
      <c r="E154" s="2">
        <v>0.80600000000000005</v>
      </c>
      <c r="F154" s="1">
        <v>45566</v>
      </c>
      <c r="G154" s="1"/>
      <c r="H154" s="1"/>
      <c r="I154" s="2"/>
    </row>
    <row r="155" spans="1:9" x14ac:dyDescent="0.3">
      <c r="A155" s="2" t="s">
        <v>122</v>
      </c>
      <c r="B155" s="2" t="s">
        <v>44</v>
      </c>
      <c r="C155" s="2" t="s">
        <v>179</v>
      </c>
      <c r="D155" s="2" t="s">
        <v>67</v>
      </c>
      <c r="E155" s="2">
        <v>7.8E-2</v>
      </c>
      <c r="F155" s="1">
        <v>45566</v>
      </c>
      <c r="G155" s="1"/>
      <c r="H155" s="1"/>
      <c r="I155" s="2"/>
    </row>
    <row r="156" spans="1:9" x14ac:dyDescent="0.3">
      <c r="A156" s="2" t="s">
        <v>122</v>
      </c>
      <c r="B156" s="2" t="s">
        <v>44</v>
      </c>
      <c r="C156" s="2" t="s">
        <v>180</v>
      </c>
      <c r="D156" s="2" t="s">
        <v>67</v>
      </c>
      <c r="E156" s="2">
        <v>2.9</v>
      </c>
      <c r="F156" s="1">
        <v>45689</v>
      </c>
      <c r="G156" s="1"/>
      <c r="H156" s="1"/>
      <c r="I156" s="2"/>
    </row>
    <row r="157" spans="1:9" x14ac:dyDescent="0.3">
      <c r="A157" s="2" t="s">
        <v>122</v>
      </c>
      <c r="B157" s="2" t="s">
        <v>44</v>
      </c>
      <c r="C157" s="2" t="s">
        <v>181</v>
      </c>
      <c r="D157" s="2" t="s">
        <v>67</v>
      </c>
      <c r="E157" s="2">
        <v>0.11799999999999999</v>
      </c>
      <c r="F157" s="1">
        <v>45689</v>
      </c>
      <c r="G157" s="1"/>
      <c r="H157" s="1"/>
      <c r="I157" s="2"/>
    </row>
    <row r="158" spans="1:9" x14ac:dyDescent="0.3">
      <c r="A158" s="2" t="s">
        <v>122</v>
      </c>
      <c r="B158" s="2" t="s">
        <v>44</v>
      </c>
      <c r="C158" s="2" t="s">
        <v>182</v>
      </c>
      <c r="D158" s="2" t="s">
        <v>67</v>
      </c>
      <c r="E158" s="2">
        <v>0.32700000000000001</v>
      </c>
      <c r="F158" s="1">
        <v>45689</v>
      </c>
      <c r="G158" s="1"/>
      <c r="H158" s="1"/>
      <c r="I158" s="2"/>
    </row>
    <row r="159" spans="1:9" x14ac:dyDescent="0.3">
      <c r="A159" s="2" t="s">
        <v>122</v>
      </c>
      <c r="B159" s="2" t="s">
        <v>44</v>
      </c>
      <c r="C159" s="2" t="s">
        <v>183</v>
      </c>
      <c r="D159" s="2" t="s">
        <v>67</v>
      </c>
      <c r="E159" s="2">
        <v>0.22</v>
      </c>
      <c r="F159" s="1">
        <v>45717</v>
      </c>
      <c r="G159" s="1"/>
      <c r="H159" s="1"/>
      <c r="I159" s="2"/>
    </row>
    <row r="160" spans="1:9" x14ac:dyDescent="0.3">
      <c r="A160" s="2" t="s">
        <v>122</v>
      </c>
      <c r="B160" s="2" t="s">
        <v>44</v>
      </c>
      <c r="C160" s="2" t="s">
        <v>184</v>
      </c>
      <c r="D160" s="2" t="s">
        <v>67</v>
      </c>
      <c r="E160" s="2">
        <v>0.72</v>
      </c>
      <c r="F160" s="1">
        <v>45689</v>
      </c>
      <c r="G160" s="1"/>
      <c r="H160" s="1"/>
      <c r="I160" s="2"/>
    </row>
    <row r="161" spans="1:9" x14ac:dyDescent="0.3">
      <c r="A161" s="2" t="s">
        <v>122</v>
      </c>
      <c r="B161" s="2" t="s">
        <v>44</v>
      </c>
      <c r="C161" s="2" t="s">
        <v>185</v>
      </c>
      <c r="D161" s="2" t="s">
        <v>67</v>
      </c>
      <c r="E161" s="2">
        <v>0.56499999999999995</v>
      </c>
      <c r="F161" s="1">
        <v>45689</v>
      </c>
      <c r="G161" s="1"/>
      <c r="H161" s="1"/>
      <c r="I161" s="2"/>
    </row>
    <row r="162" spans="1:9" x14ac:dyDescent="0.3">
      <c r="A162" s="2" t="s">
        <v>122</v>
      </c>
      <c r="B162" s="2" t="s">
        <v>44</v>
      </c>
      <c r="C162" s="2" t="s">
        <v>186</v>
      </c>
      <c r="D162" s="2" t="s">
        <v>67</v>
      </c>
      <c r="E162" s="2">
        <v>0.48199999999999998</v>
      </c>
      <c r="F162" s="1">
        <v>45689</v>
      </c>
      <c r="G162" s="1"/>
      <c r="H162" s="1"/>
      <c r="I162" s="2"/>
    </row>
    <row r="163" spans="1:9" x14ac:dyDescent="0.3">
      <c r="A163" s="2" t="s">
        <v>122</v>
      </c>
      <c r="B163" s="2" t="s">
        <v>44</v>
      </c>
      <c r="C163" s="2" t="s">
        <v>187</v>
      </c>
      <c r="D163" s="2" t="s">
        <v>67</v>
      </c>
      <c r="E163" s="2">
        <v>0.27700000000000002</v>
      </c>
      <c r="F163" s="1">
        <v>45717</v>
      </c>
      <c r="G163" s="1"/>
      <c r="H163" s="1"/>
      <c r="I163" s="2"/>
    </row>
    <row r="164" spans="1:9" x14ac:dyDescent="0.3">
      <c r="A164" s="2" t="s">
        <v>122</v>
      </c>
      <c r="B164" s="2" t="s">
        <v>44</v>
      </c>
      <c r="C164" s="2" t="s">
        <v>188</v>
      </c>
      <c r="D164" s="2" t="s">
        <v>67</v>
      </c>
      <c r="E164" s="2">
        <v>0.67</v>
      </c>
      <c r="F164" s="1">
        <v>45748</v>
      </c>
      <c r="G164" s="1"/>
      <c r="H164" s="1"/>
      <c r="I164" s="2"/>
    </row>
    <row r="165" spans="1:9" x14ac:dyDescent="0.3">
      <c r="A165" s="2" t="s">
        <v>122</v>
      </c>
      <c r="B165" s="2" t="s">
        <v>44</v>
      </c>
      <c r="C165" s="2" t="s">
        <v>189</v>
      </c>
      <c r="D165" s="2" t="s">
        <v>67</v>
      </c>
      <c r="E165" s="2">
        <v>0.38100000000000001</v>
      </c>
      <c r="F165" s="1">
        <v>45748</v>
      </c>
      <c r="G165" s="1"/>
      <c r="H165" s="1"/>
      <c r="I165" s="2"/>
    </row>
    <row r="166" spans="1:9" x14ac:dyDescent="0.3">
      <c r="A166" s="2" t="s">
        <v>122</v>
      </c>
      <c r="B166" s="2" t="s">
        <v>44</v>
      </c>
      <c r="C166" s="2" t="s">
        <v>190</v>
      </c>
      <c r="D166" s="2" t="s">
        <v>67</v>
      </c>
      <c r="E166" s="2">
        <v>0.67100000000000004</v>
      </c>
      <c r="F166" s="1">
        <v>45748</v>
      </c>
      <c r="G166" s="1"/>
      <c r="H166" s="1"/>
      <c r="I166" s="2"/>
    </row>
    <row r="167" spans="1:9" x14ac:dyDescent="0.3">
      <c r="A167" s="2" t="s">
        <v>122</v>
      </c>
      <c r="B167" s="2" t="s">
        <v>44</v>
      </c>
      <c r="C167" s="2" t="s">
        <v>191</v>
      </c>
      <c r="D167" s="2" t="s">
        <v>67</v>
      </c>
      <c r="E167" s="2">
        <v>1.2150000000000001</v>
      </c>
      <c r="F167" s="1">
        <v>45748</v>
      </c>
      <c r="G167" s="1"/>
      <c r="H167" s="1"/>
      <c r="I167" s="2"/>
    </row>
    <row r="168" spans="1:9" x14ac:dyDescent="0.3">
      <c r="A168" s="2" t="s">
        <v>192</v>
      </c>
      <c r="B168" s="2" t="s">
        <v>10</v>
      </c>
      <c r="C168" s="2" t="s">
        <v>193</v>
      </c>
      <c r="D168" s="2" t="s">
        <v>12</v>
      </c>
      <c r="E168" s="2">
        <v>126.1</v>
      </c>
      <c r="F168" s="1">
        <v>47686</v>
      </c>
      <c r="G168" s="1"/>
      <c r="H168" s="1"/>
      <c r="I168" s="2"/>
    </row>
    <row r="169" spans="1:9" x14ac:dyDescent="0.3">
      <c r="A169" s="2" t="s">
        <v>192</v>
      </c>
      <c r="B169" s="2" t="s">
        <v>10</v>
      </c>
      <c r="C169" s="2" t="s">
        <v>194</v>
      </c>
      <c r="D169" s="2" t="s">
        <v>12</v>
      </c>
      <c r="E169" s="2">
        <v>31.5</v>
      </c>
      <c r="F169" s="1">
        <v>47474</v>
      </c>
      <c r="G169" s="1"/>
      <c r="H169" s="1"/>
      <c r="I169" s="2"/>
    </row>
    <row r="170" spans="1:9" x14ac:dyDescent="0.3">
      <c r="A170" s="2" t="s">
        <v>192</v>
      </c>
      <c r="B170" s="2" t="s">
        <v>10</v>
      </c>
      <c r="C170" s="2" t="s">
        <v>195</v>
      </c>
      <c r="D170" s="2" t="s">
        <v>12</v>
      </c>
      <c r="E170" s="2">
        <v>31.5</v>
      </c>
      <c r="F170" s="1">
        <v>47748</v>
      </c>
      <c r="G170" s="1"/>
      <c r="H170" s="1"/>
      <c r="I170" s="2"/>
    </row>
    <row r="171" spans="1:9" x14ac:dyDescent="0.3">
      <c r="A171" s="2" t="s">
        <v>192</v>
      </c>
      <c r="B171" s="2" t="s">
        <v>10</v>
      </c>
      <c r="C171" s="2" t="s">
        <v>196</v>
      </c>
      <c r="D171" s="2" t="s">
        <v>12</v>
      </c>
      <c r="E171" s="2">
        <v>31.5</v>
      </c>
      <c r="F171" s="1">
        <v>47717</v>
      </c>
      <c r="G171" s="1"/>
      <c r="H171" s="1"/>
      <c r="I171" s="2"/>
    </row>
    <row r="172" spans="1:9" x14ac:dyDescent="0.3">
      <c r="A172" s="2" t="s">
        <v>192</v>
      </c>
      <c r="B172" s="2" t="s">
        <v>10</v>
      </c>
      <c r="C172" s="2" t="s">
        <v>197</v>
      </c>
      <c r="D172" s="2" t="s">
        <v>12</v>
      </c>
      <c r="E172" s="2">
        <v>318</v>
      </c>
      <c r="F172" s="1"/>
      <c r="G172" s="1"/>
      <c r="H172" s="1"/>
      <c r="I172" s="2"/>
    </row>
    <row r="173" spans="1:9" x14ac:dyDescent="0.3">
      <c r="A173" s="2" t="s">
        <v>192</v>
      </c>
      <c r="B173" s="2" t="s">
        <v>10</v>
      </c>
      <c r="C173" s="2" t="s">
        <v>198</v>
      </c>
      <c r="D173" s="2" t="s">
        <v>12</v>
      </c>
      <c r="E173" s="2">
        <v>120</v>
      </c>
      <c r="F173" s="1">
        <v>47839</v>
      </c>
      <c r="G173" s="1"/>
      <c r="H173" s="1"/>
      <c r="I173" s="2"/>
    </row>
    <row r="174" spans="1:9" x14ac:dyDescent="0.3">
      <c r="A174" s="2" t="s">
        <v>192</v>
      </c>
      <c r="B174" s="2" t="s">
        <v>10</v>
      </c>
      <c r="C174" s="2" t="s">
        <v>199</v>
      </c>
      <c r="D174" s="2" t="s">
        <v>61</v>
      </c>
      <c r="E174" s="2">
        <v>1.92</v>
      </c>
      <c r="F174" s="1">
        <v>46195</v>
      </c>
      <c r="G174" s="1"/>
      <c r="H174" s="1"/>
      <c r="I174" s="2"/>
    </row>
    <row r="175" spans="1:9" x14ac:dyDescent="0.3">
      <c r="A175" s="2" t="s">
        <v>192</v>
      </c>
      <c r="B175" s="2" t="s">
        <v>10</v>
      </c>
      <c r="C175" s="2" t="s">
        <v>200</v>
      </c>
      <c r="D175" s="2" t="s">
        <v>61</v>
      </c>
      <c r="E175" s="2">
        <v>4.71</v>
      </c>
      <c r="F175" s="1">
        <v>46164</v>
      </c>
      <c r="G175" s="1"/>
      <c r="H175" s="1"/>
      <c r="I175" s="2"/>
    </row>
    <row r="176" spans="1:9" x14ac:dyDescent="0.3">
      <c r="A176" s="2" t="s">
        <v>192</v>
      </c>
      <c r="B176" s="2" t="s">
        <v>10</v>
      </c>
      <c r="C176" s="2" t="s">
        <v>201</v>
      </c>
      <c r="D176" s="2" t="s">
        <v>61</v>
      </c>
      <c r="E176" s="2">
        <v>5.0999999999999996</v>
      </c>
      <c r="F176" s="1">
        <v>46164</v>
      </c>
      <c r="G176" s="1"/>
      <c r="H176" s="1"/>
      <c r="I176" s="2"/>
    </row>
    <row r="177" spans="1:9" x14ac:dyDescent="0.3">
      <c r="A177" s="2" t="s">
        <v>192</v>
      </c>
      <c r="B177" s="2" t="s">
        <v>10</v>
      </c>
      <c r="C177" s="2" t="s">
        <v>202</v>
      </c>
      <c r="D177" s="2" t="s">
        <v>61</v>
      </c>
      <c r="E177" s="2">
        <v>4.67</v>
      </c>
      <c r="F177" s="1">
        <v>46134</v>
      </c>
      <c r="G177" s="1"/>
      <c r="H177" s="1"/>
      <c r="I177" s="2"/>
    </row>
    <row r="178" spans="1:9" x14ac:dyDescent="0.3">
      <c r="A178" s="2" t="s">
        <v>192</v>
      </c>
      <c r="B178" s="2" t="s">
        <v>10</v>
      </c>
      <c r="C178" s="2" t="s">
        <v>203</v>
      </c>
      <c r="D178" s="2" t="s">
        <v>61</v>
      </c>
      <c r="E178" s="2">
        <v>4.71</v>
      </c>
      <c r="F178" s="1">
        <v>46134</v>
      </c>
      <c r="G178" s="1"/>
      <c r="H178" s="1"/>
      <c r="I178" s="2"/>
    </row>
    <row r="179" spans="1:9" x14ac:dyDescent="0.3">
      <c r="A179" s="2" t="s">
        <v>192</v>
      </c>
      <c r="B179" s="2" t="s">
        <v>10</v>
      </c>
      <c r="C179" s="2" t="s">
        <v>204</v>
      </c>
      <c r="D179" s="2" t="s">
        <v>61</v>
      </c>
      <c r="E179" s="2">
        <v>8.3550000000000004</v>
      </c>
      <c r="F179" s="1">
        <v>46134</v>
      </c>
      <c r="G179" s="1"/>
      <c r="H179" s="1"/>
      <c r="I179" s="2"/>
    </row>
    <row r="180" spans="1:9" x14ac:dyDescent="0.3">
      <c r="A180" s="2" t="s">
        <v>192</v>
      </c>
      <c r="B180" s="2" t="s">
        <v>10</v>
      </c>
      <c r="C180" s="2" t="s">
        <v>205</v>
      </c>
      <c r="D180" s="2" t="s">
        <v>61</v>
      </c>
      <c r="E180" s="2">
        <v>8.57</v>
      </c>
      <c r="F180" s="1">
        <v>46164</v>
      </c>
      <c r="G180" s="1"/>
      <c r="H180" s="1"/>
      <c r="I180" s="2"/>
    </row>
    <row r="181" spans="1:9" x14ac:dyDescent="0.3">
      <c r="A181" s="2" t="s">
        <v>192</v>
      </c>
      <c r="B181" s="2" t="s">
        <v>10</v>
      </c>
      <c r="C181" s="2" t="s">
        <v>206</v>
      </c>
      <c r="D181" s="2" t="s">
        <v>61</v>
      </c>
      <c r="E181" s="2">
        <v>7.69</v>
      </c>
      <c r="F181" s="1">
        <v>46195</v>
      </c>
      <c r="G181" s="1"/>
      <c r="H181" s="1"/>
      <c r="I181" s="2"/>
    </row>
    <row r="182" spans="1:9" x14ac:dyDescent="0.3">
      <c r="A182" s="2" t="s">
        <v>192</v>
      </c>
      <c r="B182" s="2" t="s">
        <v>10</v>
      </c>
      <c r="C182" s="2" t="s">
        <v>207</v>
      </c>
      <c r="D182" s="2" t="s">
        <v>61</v>
      </c>
      <c r="E182" s="2">
        <v>4.6900000000000004</v>
      </c>
      <c r="F182" s="1">
        <v>46195</v>
      </c>
      <c r="G182" s="1"/>
      <c r="H182" s="1"/>
      <c r="I182" s="2"/>
    </row>
    <row r="183" spans="1:9" x14ac:dyDescent="0.3">
      <c r="A183" s="2" t="s">
        <v>192</v>
      </c>
      <c r="B183" s="2" t="s">
        <v>10</v>
      </c>
      <c r="C183" s="2" t="s">
        <v>208</v>
      </c>
      <c r="D183" s="2" t="s">
        <v>61</v>
      </c>
      <c r="E183" s="2">
        <v>14.91</v>
      </c>
      <c r="F183" s="1">
        <v>46103</v>
      </c>
      <c r="G183" s="1"/>
      <c r="H183" s="1"/>
      <c r="I183" s="2"/>
    </row>
    <row r="184" spans="1:9" x14ac:dyDescent="0.3">
      <c r="A184" s="2" t="s">
        <v>192</v>
      </c>
      <c r="B184" s="2" t="s">
        <v>10</v>
      </c>
      <c r="C184" s="2" t="s">
        <v>209</v>
      </c>
      <c r="D184" s="2" t="s">
        <v>61</v>
      </c>
      <c r="E184" s="2">
        <v>30</v>
      </c>
      <c r="F184" s="1">
        <v>46440</v>
      </c>
      <c r="G184" s="1"/>
      <c r="H184" s="1"/>
      <c r="I184" s="2"/>
    </row>
    <row r="185" spans="1:9" x14ac:dyDescent="0.3">
      <c r="A185" s="2" t="s">
        <v>192</v>
      </c>
      <c r="B185" s="2" t="s">
        <v>10</v>
      </c>
      <c r="C185" s="2" t="s">
        <v>210</v>
      </c>
      <c r="D185" s="2" t="s">
        <v>67</v>
      </c>
      <c r="E185" s="2">
        <v>15.54</v>
      </c>
      <c r="F185" s="2"/>
      <c r="G185" s="2"/>
      <c r="H185" s="2"/>
      <c r="I185" s="2"/>
    </row>
    <row r="186" spans="1:9" x14ac:dyDescent="0.3">
      <c r="A186" s="2" t="s">
        <v>192</v>
      </c>
      <c r="B186" s="2" t="s">
        <v>10</v>
      </c>
      <c r="C186" s="2" t="s">
        <v>211</v>
      </c>
      <c r="D186" s="2" t="s">
        <v>67</v>
      </c>
      <c r="E186" s="2">
        <v>13.44</v>
      </c>
      <c r="F186" s="2"/>
      <c r="G186" s="2"/>
      <c r="H186" s="2"/>
      <c r="I186" s="2"/>
    </row>
    <row r="187" spans="1:9" x14ac:dyDescent="0.3">
      <c r="A187" s="2" t="s">
        <v>192</v>
      </c>
      <c r="B187" s="2" t="s">
        <v>10</v>
      </c>
      <c r="C187" s="2" t="s">
        <v>212</v>
      </c>
      <c r="D187" s="2" t="s">
        <v>67</v>
      </c>
      <c r="E187" s="2">
        <v>14.49</v>
      </c>
      <c r="F187" s="2"/>
      <c r="G187" s="2"/>
      <c r="H187" s="2"/>
      <c r="I187" s="2"/>
    </row>
    <row r="188" spans="1:9" x14ac:dyDescent="0.3">
      <c r="A188" s="2" t="s">
        <v>192</v>
      </c>
      <c r="B188" s="2" t="s">
        <v>10</v>
      </c>
      <c r="C188" s="2" t="s">
        <v>213</v>
      </c>
      <c r="D188" s="2" t="s">
        <v>67</v>
      </c>
      <c r="E188" s="2">
        <v>13.44</v>
      </c>
      <c r="F188" s="2"/>
      <c r="G188" s="2"/>
      <c r="H188" s="2"/>
      <c r="I188" s="2"/>
    </row>
    <row r="189" spans="1:9" x14ac:dyDescent="0.3">
      <c r="A189" s="2" t="s">
        <v>192</v>
      </c>
      <c r="B189" s="2" t="s">
        <v>10</v>
      </c>
      <c r="C189" s="2" t="s">
        <v>214</v>
      </c>
      <c r="D189" s="2" t="s">
        <v>67</v>
      </c>
      <c r="E189" s="2">
        <v>6.54</v>
      </c>
      <c r="F189" s="2"/>
      <c r="G189" s="2"/>
      <c r="H189" s="2"/>
      <c r="I189" s="2"/>
    </row>
    <row r="190" spans="1:9" x14ac:dyDescent="0.3">
      <c r="A190" s="2" t="s">
        <v>192</v>
      </c>
      <c r="B190" s="2" t="s">
        <v>10</v>
      </c>
      <c r="C190" s="2" t="s">
        <v>159</v>
      </c>
      <c r="D190" s="2" t="s">
        <v>67</v>
      </c>
      <c r="E190" s="2">
        <v>90</v>
      </c>
      <c r="F190" s="2"/>
      <c r="G190" s="2"/>
      <c r="H190" s="2"/>
      <c r="I190" s="2"/>
    </row>
    <row r="191" spans="1:9" x14ac:dyDescent="0.3">
      <c r="A191" s="2" t="s">
        <v>192</v>
      </c>
      <c r="B191" s="2" t="s">
        <v>44</v>
      </c>
      <c r="C191" s="2" t="s">
        <v>215</v>
      </c>
      <c r="D191" s="2" t="s">
        <v>216</v>
      </c>
      <c r="E191" s="2">
        <v>0.92498000000000002</v>
      </c>
      <c r="F191" s="1">
        <v>46082</v>
      </c>
      <c r="G191" s="1"/>
      <c r="H191" s="1"/>
      <c r="I191" s="2"/>
    </row>
    <row r="192" spans="1:9" x14ac:dyDescent="0.3">
      <c r="A192" s="2" t="s">
        <v>192</v>
      </c>
      <c r="B192" s="2" t="s">
        <v>44</v>
      </c>
      <c r="C192" s="2" t="s">
        <v>217</v>
      </c>
      <c r="D192" s="2" t="s">
        <v>216</v>
      </c>
      <c r="E192" s="2">
        <v>0.94787999999999994</v>
      </c>
      <c r="F192" s="1">
        <v>46082</v>
      </c>
      <c r="G192" s="1"/>
      <c r="H192" s="1"/>
      <c r="I192" s="2"/>
    </row>
    <row r="193" spans="1:9" x14ac:dyDescent="0.3">
      <c r="A193" s="2" t="s">
        <v>192</v>
      </c>
      <c r="B193" s="2" t="s">
        <v>44</v>
      </c>
      <c r="C193" s="2" t="s">
        <v>218</v>
      </c>
      <c r="D193" s="2" t="s">
        <v>216</v>
      </c>
      <c r="E193" s="2">
        <v>0.38818000000000003</v>
      </c>
      <c r="F193" s="1">
        <v>46082</v>
      </c>
      <c r="G193" s="1"/>
      <c r="H193" s="1"/>
      <c r="I193" s="2"/>
    </row>
    <row r="194" spans="1:9" x14ac:dyDescent="0.3">
      <c r="A194" s="2" t="s">
        <v>192</v>
      </c>
      <c r="B194" s="2" t="s">
        <v>44</v>
      </c>
      <c r="C194" s="2" t="s">
        <v>219</v>
      </c>
      <c r="D194" s="2" t="s">
        <v>216</v>
      </c>
      <c r="E194" s="2">
        <v>1.35931</v>
      </c>
      <c r="F194" s="1">
        <v>46082</v>
      </c>
      <c r="G194" s="1"/>
      <c r="H194" s="1"/>
      <c r="I194" s="2"/>
    </row>
    <row r="195" spans="1:9" x14ac:dyDescent="0.3">
      <c r="A195" s="2" t="s">
        <v>192</v>
      </c>
      <c r="B195" s="2" t="s">
        <v>44</v>
      </c>
      <c r="C195" s="2" t="s">
        <v>220</v>
      </c>
      <c r="D195" s="2" t="s">
        <v>216</v>
      </c>
      <c r="E195" s="2">
        <v>1.23939</v>
      </c>
      <c r="F195" s="1">
        <v>46082</v>
      </c>
      <c r="G195" s="1"/>
      <c r="H195" s="1"/>
      <c r="I195" s="2"/>
    </row>
    <row r="196" spans="1:9" x14ac:dyDescent="0.3">
      <c r="A196" s="2" t="s">
        <v>192</v>
      </c>
      <c r="B196" s="2" t="s">
        <v>44</v>
      </c>
      <c r="C196" s="2" t="s">
        <v>221</v>
      </c>
      <c r="D196" s="2" t="s">
        <v>216</v>
      </c>
      <c r="E196" s="2">
        <v>1.0352300000000001</v>
      </c>
      <c r="F196" s="1">
        <v>46082</v>
      </c>
      <c r="G196" s="1"/>
      <c r="H196" s="1"/>
      <c r="I196" s="2"/>
    </row>
    <row r="197" spans="1:9" x14ac:dyDescent="0.3">
      <c r="A197" s="2" t="s">
        <v>192</v>
      </c>
      <c r="B197" s="2" t="s">
        <v>44</v>
      </c>
      <c r="C197" s="2" t="s">
        <v>222</v>
      </c>
      <c r="D197" s="2" t="s">
        <v>216</v>
      </c>
      <c r="E197" s="2">
        <v>0.32711000000000001</v>
      </c>
      <c r="F197" s="1">
        <v>46082</v>
      </c>
      <c r="G197" s="1"/>
      <c r="H197" s="1"/>
      <c r="I197" s="2"/>
    </row>
    <row r="198" spans="1:9" x14ac:dyDescent="0.3">
      <c r="A198" s="2" t="s">
        <v>192</v>
      </c>
      <c r="B198" s="2" t="s">
        <v>44</v>
      </c>
      <c r="C198" s="2" t="s">
        <v>223</v>
      </c>
      <c r="D198" s="2" t="s">
        <v>216</v>
      </c>
      <c r="E198" s="2">
        <v>0.48855999999999999</v>
      </c>
      <c r="F198" s="1">
        <v>46235</v>
      </c>
      <c r="G198" s="1"/>
      <c r="H198" s="1"/>
      <c r="I198" s="2"/>
    </row>
    <row r="199" spans="1:9" x14ac:dyDescent="0.3">
      <c r="A199" s="2" t="s">
        <v>192</v>
      </c>
      <c r="B199" s="2" t="s">
        <v>44</v>
      </c>
      <c r="C199" s="2" t="s">
        <v>224</v>
      </c>
      <c r="D199" s="2" t="s">
        <v>216</v>
      </c>
      <c r="E199" s="2">
        <v>0.84826999999999997</v>
      </c>
      <c r="F199" s="1">
        <v>46082</v>
      </c>
      <c r="G199" s="1"/>
      <c r="H199" s="1"/>
      <c r="I199" s="2"/>
    </row>
    <row r="200" spans="1:9" x14ac:dyDescent="0.3">
      <c r="A200" s="2" t="s">
        <v>192</v>
      </c>
      <c r="B200" s="2" t="s">
        <v>44</v>
      </c>
      <c r="C200" s="2" t="s">
        <v>225</v>
      </c>
      <c r="D200" s="2" t="s">
        <v>216</v>
      </c>
      <c r="E200" s="2">
        <v>0.29582999999999998</v>
      </c>
      <c r="F200" s="1">
        <v>46204</v>
      </c>
      <c r="G200" s="1"/>
      <c r="H200" s="1"/>
      <c r="I200" s="2"/>
    </row>
    <row r="201" spans="1:9" x14ac:dyDescent="0.3">
      <c r="A201" s="2" t="s">
        <v>192</v>
      </c>
      <c r="B201" s="2" t="s">
        <v>44</v>
      </c>
      <c r="C201" s="2" t="s">
        <v>226</v>
      </c>
      <c r="D201" s="2" t="s">
        <v>216</v>
      </c>
      <c r="E201" s="2">
        <v>0.30920999999999998</v>
      </c>
      <c r="F201" s="1">
        <v>46082</v>
      </c>
      <c r="G201" s="1"/>
      <c r="H201" s="1"/>
      <c r="I201" s="2"/>
    </row>
    <row r="202" spans="1:9" x14ac:dyDescent="0.3">
      <c r="A202" s="2" t="s">
        <v>192</v>
      </c>
      <c r="B202" s="2" t="s">
        <v>44</v>
      </c>
      <c r="C202" s="2" t="s">
        <v>227</v>
      </c>
      <c r="D202" s="2" t="s">
        <v>216</v>
      </c>
      <c r="E202" s="2">
        <v>0.42614000000000002</v>
      </c>
      <c r="F202" s="1">
        <v>46082</v>
      </c>
      <c r="G202" s="1"/>
      <c r="H202" s="1"/>
      <c r="I202" s="2"/>
    </row>
    <row r="203" spans="1:9" x14ac:dyDescent="0.3">
      <c r="A203" s="2" t="s">
        <v>192</v>
      </c>
      <c r="B203" s="2" t="s">
        <v>44</v>
      </c>
      <c r="C203" s="2" t="s">
        <v>228</v>
      </c>
      <c r="D203" s="2" t="s">
        <v>216</v>
      </c>
      <c r="E203" s="2">
        <v>1.01311</v>
      </c>
      <c r="F203" s="1">
        <v>46082</v>
      </c>
      <c r="G203" s="1"/>
      <c r="H203" s="1"/>
      <c r="I203" s="2"/>
    </row>
    <row r="204" spans="1:9" x14ac:dyDescent="0.3">
      <c r="A204" s="2" t="s">
        <v>192</v>
      </c>
      <c r="B204" s="2" t="s">
        <v>44</v>
      </c>
      <c r="C204" s="2" t="s">
        <v>160</v>
      </c>
      <c r="D204" s="2" t="s">
        <v>216</v>
      </c>
      <c r="E204" s="2">
        <v>0.35182999999999998</v>
      </c>
      <c r="F204" s="1">
        <v>46204</v>
      </c>
      <c r="G204" s="1"/>
      <c r="H204" s="1"/>
      <c r="I204" s="2"/>
    </row>
    <row r="205" spans="1:9" x14ac:dyDescent="0.3">
      <c r="A205" s="2" t="s">
        <v>192</v>
      </c>
      <c r="B205" s="2" t="s">
        <v>44</v>
      </c>
      <c r="C205" s="2" t="s">
        <v>229</v>
      </c>
      <c r="D205" s="2" t="s">
        <v>216</v>
      </c>
      <c r="E205" s="2">
        <v>1.45696</v>
      </c>
      <c r="F205" s="1">
        <v>46082</v>
      </c>
      <c r="G205" s="1"/>
      <c r="H205" s="1"/>
      <c r="I205" s="2"/>
    </row>
    <row r="206" spans="1:9" x14ac:dyDescent="0.3">
      <c r="A206" s="2" t="s">
        <v>192</v>
      </c>
      <c r="B206" s="2" t="s">
        <v>44</v>
      </c>
      <c r="C206" s="2" t="s">
        <v>230</v>
      </c>
      <c r="D206" s="2" t="s">
        <v>216</v>
      </c>
      <c r="E206" s="2">
        <v>0.29582999999999998</v>
      </c>
      <c r="F206" s="1">
        <v>46204</v>
      </c>
      <c r="G206" s="1"/>
      <c r="H206" s="1"/>
      <c r="I206" s="2"/>
    </row>
    <row r="207" spans="1:9" x14ac:dyDescent="0.3">
      <c r="A207" s="2" t="s">
        <v>192</v>
      </c>
      <c r="B207" s="2" t="s">
        <v>44</v>
      </c>
      <c r="C207" s="2" t="s">
        <v>231</v>
      </c>
      <c r="D207" s="2" t="s">
        <v>216</v>
      </c>
      <c r="E207" s="2">
        <v>1.47919</v>
      </c>
      <c r="F207" s="1">
        <v>46082</v>
      </c>
      <c r="G207" s="1"/>
      <c r="H207" s="1"/>
      <c r="I207" s="2"/>
    </row>
    <row r="208" spans="1:9" x14ac:dyDescent="0.3">
      <c r="A208" s="2" t="s">
        <v>192</v>
      </c>
      <c r="B208" s="2" t="s">
        <v>44</v>
      </c>
      <c r="C208" s="2" t="s">
        <v>232</v>
      </c>
      <c r="D208" s="2" t="s">
        <v>216</v>
      </c>
      <c r="E208" s="2">
        <v>1.19255</v>
      </c>
      <c r="F208" s="1">
        <v>46082</v>
      </c>
      <c r="G208" s="1"/>
      <c r="H208" s="1"/>
      <c r="I208" s="2"/>
    </row>
    <row r="209" spans="1:9" x14ac:dyDescent="0.3">
      <c r="A209" s="2" t="s">
        <v>192</v>
      </c>
      <c r="B209" s="2" t="s">
        <v>44</v>
      </c>
      <c r="C209" s="2" t="s">
        <v>233</v>
      </c>
      <c r="D209" s="2" t="s">
        <v>216</v>
      </c>
      <c r="E209" s="2">
        <v>0.21840000000000001</v>
      </c>
      <c r="F209" s="1">
        <v>46204</v>
      </c>
      <c r="G209" s="1"/>
      <c r="H209" s="1"/>
      <c r="I209" s="2"/>
    </row>
    <row r="210" spans="1:9" x14ac:dyDescent="0.3">
      <c r="A210" s="2" t="s">
        <v>192</v>
      </c>
      <c r="B210" s="2" t="s">
        <v>44</v>
      </c>
      <c r="C210" s="2" t="s">
        <v>234</v>
      </c>
      <c r="D210" s="2" t="s">
        <v>216</v>
      </c>
      <c r="E210" s="2">
        <v>0.97599999999999998</v>
      </c>
      <c r="F210" s="1">
        <v>46204</v>
      </c>
      <c r="G210" s="1"/>
      <c r="H210" s="1"/>
      <c r="I210" s="2"/>
    </row>
    <row r="211" spans="1:9" x14ac:dyDescent="0.3">
      <c r="A211" s="2" t="s">
        <v>192</v>
      </c>
      <c r="B211" s="2" t="s">
        <v>44</v>
      </c>
      <c r="C211" s="2" t="s">
        <v>235</v>
      </c>
      <c r="D211" s="2" t="s">
        <v>216</v>
      </c>
      <c r="E211" s="2">
        <v>2.3591099999999998</v>
      </c>
      <c r="F211" s="1">
        <v>46082</v>
      </c>
      <c r="G211" s="1"/>
      <c r="H211" s="1"/>
      <c r="I211" s="2"/>
    </row>
    <row r="212" spans="1:9" x14ac:dyDescent="0.3">
      <c r="A212" s="2" t="s">
        <v>192</v>
      </c>
      <c r="B212" s="2" t="s">
        <v>44</v>
      </c>
      <c r="C212" s="2" t="s">
        <v>236</v>
      </c>
      <c r="D212" s="2" t="s">
        <v>216</v>
      </c>
      <c r="E212" s="2">
        <v>0.44647999999999999</v>
      </c>
      <c r="F212" s="1">
        <v>46082</v>
      </c>
      <c r="G212" s="1"/>
      <c r="H212" s="1"/>
      <c r="I212" s="2"/>
    </row>
    <row r="213" spans="1:9" x14ac:dyDescent="0.3">
      <c r="A213" s="2" t="s">
        <v>192</v>
      </c>
      <c r="B213" s="2" t="s">
        <v>44</v>
      </c>
      <c r="C213" s="2" t="s">
        <v>89</v>
      </c>
      <c r="D213" s="2" t="s">
        <v>216</v>
      </c>
      <c r="E213" s="2" t="s">
        <v>83</v>
      </c>
      <c r="F213" s="2" t="s">
        <v>83</v>
      </c>
      <c r="G213" s="2"/>
      <c r="H213" s="2"/>
      <c r="I213" s="2"/>
    </row>
    <row r="214" spans="1:9" x14ac:dyDescent="0.3">
      <c r="A214" s="2" t="s">
        <v>192</v>
      </c>
      <c r="B214" s="2" t="s">
        <v>44</v>
      </c>
      <c r="C214" s="2" t="s">
        <v>237</v>
      </c>
      <c r="D214" s="2" t="s">
        <v>216</v>
      </c>
      <c r="E214" s="2" t="s">
        <v>83</v>
      </c>
      <c r="F214" s="2" t="s">
        <v>83</v>
      </c>
      <c r="G214" s="2"/>
      <c r="H214" s="2"/>
      <c r="I214" s="2"/>
    </row>
    <row r="215" spans="1:9" x14ac:dyDescent="0.3">
      <c r="A215" s="2" t="s">
        <v>192</v>
      </c>
      <c r="B215" s="2" t="s">
        <v>44</v>
      </c>
      <c r="C215" s="2" t="s">
        <v>238</v>
      </c>
      <c r="D215" s="2" t="s">
        <v>216</v>
      </c>
      <c r="E215" s="2" t="s">
        <v>83</v>
      </c>
      <c r="F215" s="2" t="s">
        <v>83</v>
      </c>
      <c r="G215" s="2"/>
      <c r="H215" s="2"/>
      <c r="I215" s="2"/>
    </row>
    <row r="216" spans="1:9" x14ac:dyDescent="0.3">
      <c r="A216" s="2" t="s">
        <v>192</v>
      </c>
      <c r="B216" s="2" t="s">
        <v>44</v>
      </c>
      <c r="C216" s="2" t="s">
        <v>239</v>
      </c>
      <c r="D216" s="2" t="s">
        <v>216</v>
      </c>
      <c r="E216" s="2" t="s">
        <v>83</v>
      </c>
      <c r="F216" s="2" t="s">
        <v>83</v>
      </c>
      <c r="G216" s="2"/>
      <c r="H216" s="2"/>
      <c r="I216" s="2"/>
    </row>
    <row r="217" spans="1:9" x14ac:dyDescent="0.3">
      <c r="A217" s="2" t="s">
        <v>192</v>
      </c>
      <c r="B217" s="2" t="s">
        <v>44</v>
      </c>
      <c r="C217" s="2" t="s">
        <v>240</v>
      </c>
      <c r="D217" s="2" t="s">
        <v>216</v>
      </c>
      <c r="E217" s="2" t="s">
        <v>83</v>
      </c>
      <c r="F217" s="2" t="s">
        <v>83</v>
      </c>
      <c r="G217" s="2"/>
      <c r="H217" s="2"/>
      <c r="I217" s="2"/>
    </row>
    <row r="218" spans="1:9" x14ac:dyDescent="0.3">
      <c r="A218" s="2" t="s">
        <v>192</v>
      </c>
      <c r="B218" s="2" t="s">
        <v>44</v>
      </c>
      <c r="C218" s="2" t="s">
        <v>241</v>
      </c>
      <c r="D218" s="2" t="s">
        <v>216</v>
      </c>
      <c r="E218" s="2" t="s">
        <v>83</v>
      </c>
      <c r="F218" s="2" t="s">
        <v>83</v>
      </c>
      <c r="G218" s="2"/>
      <c r="H218" s="2"/>
      <c r="I218" s="2"/>
    </row>
    <row r="219" spans="1:9" x14ac:dyDescent="0.3">
      <c r="A219" s="2" t="s">
        <v>192</v>
      </c>
      <c r="B219" s="2" t="s">
        <v>44</v>
      </c>
      <c r="C219" s="2" t="s">
        <v>242</v>
      </c>
      <c r="D219" s="2" t="s">
        <v>216</v>
      </c>
      <c r="E219" s="2">
        <v>0.23585999999999999</v>
      </c>
      <c r="F219" s="1">
        <v>46082</v>
      </c>
      <c r="G219" s="1"/>
      <c r="H219" s="1"/>
      <c r="I219" s="2"/>
    </row>
    <row r="220" spans="1:9" x14ac:dyDescent="0.3">
      <c r="A220" s="2" t="s">
        <v>192</v>
      </c>
      <c r="B220" s="2" t="s">
        <v>44</v>
      </c>
      <c r="C220" s="2" t="s">
        <v>243</v>
      </c>
      <c r="D220" s="2" t="s">
        <v>67</v>
      </c>
      <c r="E220" s="2">
        <v>26</v>
      </c>
      <c r="F220" s="1">
        <v>45323</v>
      </c>
      <c r="G220" s="1"/>
      <c r="H220" s="1"/>
      <c r="I220" s="2"/>
    </row>
    <row r="221" spans="1:9" x14ac:dyDescent="0.3">
      <c r="A221" s="2" t="s">
        <v>192</v>
      </c>
      <c r="B221" s="2" t="s">
        <v>44</v>
      </c>
      <c r="C221" s="2" t="s">
        <v>244</v>
      </c>
      <c r="D221" s="2" t="s">
        <v>67</v>
      </c>
      <c r="E221" s="2">
        <v>5.1440000000000001</v>
      </c>
      <c r="F221" s="1">
        <v>45748</v>
      </c>
      <c r="G221" s="1"/>
      <c r="H221" s="1"/>
      <c r="I221" s="2"/>
    </row>
    <row r="222" spans="1:9" x14ac:dyDescent="0.3">
      <c r="A222" s="2" t="s">
        <v>192</v>
      </c>
      <c r="B222" s="2" t="s">
        <v>44</v>
      </c>
      <c r="C222" s="2" t="s">
        <v>245</v>
      </c>
      <c r="D222" s="2" t="s">
        <v>67</v>
      </c>
      <c r="E222" s="2">
        <v>7.8120000000000003</v>
      </c>
      <c r="F222" s="1">
        <v>45870</v>
      </c>
      <c r="G222" s="1"/>
      <c r="H222" s="1"/>
      <c r="I222" s="2"/>
    </row>
    <row r="223" spans="1:9" x14ac:dyDescent="0.3">
      <c r="A223" s="2" t="s">
        <v>192</v>
      </c>
      <c r="B223" s="2" t="s">
        <v>44</v>
      </c>
      <c r="C223" s="2" t="s">
        <v>246</v>
      </c>
      <c r="D223" s="2" t="s">
        <v>67</v>
      </c>
      <c r="E223" s="2">
        <v>7.6280000000000001</v>
      </c>
      <c r="F223" s="1">
        <v>45839</v>
      </c>
      <c r="G223" s="1"/>
      <c r="H223" s="1"/>
      <c r="I223" s="2"/>
    </row>
    <row r="224" spans="1:9" x14ac:dyDescent="0.3">
      <c r="A224" s="2" t="s">
        <v>192</v>
      </c>
      <c r="B224" s="2" t="s">
        <v>44</v>
      </c>
      <c r="C224" s="2" t="s">
        <v>247</v>
      </c>
      <c r="D224" s="2" t="s">
        <v>67</v>
      </c>
      <c r="E224" s="2">
        <v>6.0810000000000004</v>
      </c>
      <c r="F224" s="1">
        <v>45962</v>
      </c>
      <c r="G224" s="1"/>
      <c r="H224" s="1"/>
      <c r="I224" s="2"/>
    </row>
    <row r="225" spans="1:9" x14ac:dyDescent="0.3">
      <c r="A225" s="2" t="s">
        <v>248</v>
      </c>
      <c r="B225" s="2" t="s">
        <v>10</v>
      </c>
      <c r="C225" s="2" t="s">
        <v>249</v>
      </c>
      <c r="D225" s="2" t="s">
        <v>250</v>
      </c>
      <c r="E225" s="2">
        <v>57.4</v>
      </c>
      <c r="F225" s="1">
        <v>45992</v>
      </c>
      <c r="G225" s="1"/>
      <c r="H225" s="1"/>
      <c r="I225" s="2"/>
    </row>
    <row r="226" spans="1:9" x14ac:dyDescent="0.3">
      <c r="A226" s="2" t="s">
        <v>248</v>
      </c>
      <c r="B226" s="2" t="s">
        <v>10</v>
      </c>
      <c r="C226" s="2" t="s">
        <v>251</v>
      </c>
      <c r="D226" s="2" t="s">
        <v>250</v>
      </c>
      <c r="E226" s="2">
        <v>38.78</v>
      </c>
      <c r="F226" s="1">
        <v>47119</v>
      </c>
      <c r="G226" s="1"/>
      <c r="H226" s="1"/>
      <c r="I226" s="2"/>
    </row>
    <row r="227" spans="1:9" x14ac:dyDescent="0.3">
      <c r="A227" s="2" t="s">
        <v>248</v>
      </c>
      <c r="B227" s="2" t="s">
        <v>10</v>
      </c>
      <c r="C227" s="2" t="s">
        <v>252</v>
      </c>
      <c r="D227" s="2" t="s">
        <v>250</v>
      </c>
      <c r="E227" s="2">
        <v>222</v>
      </c>
      <c r="F227" s="1">
        <v>46905</v>
      </c>
      <c r="G227" s="1"/>
      <c r="H227" s="1"/>
      <c r="I227" s="2"/>
    </row>
    <row r="228" spans="1:9" x14ac:dyDescent="0.3">
      <c r="A228" s="2" t="s">
        <v>253</v>
      </c>
      <c r="B228" s="2" t="s">
        <v>10</v>
      </c>
      <c r="C228" s="2" t="s">
        <v>254</v>
      </c>
      <c r="D228" s="2" t="s">
        <v>250</v>
      </c>
      <c r="E228" s="2">
        <v>28.1</v>
      </c>
      <c r="F228" s="1">
        <v>46204</v>
      </c>
      <c r="G228" s="1"/>
      <c r="H228" s="1"/>
      <c r="I228" s="2"/>
    </row>
  </sheetData>
  <autoFilter ref="A1:I228" xr:uid="{00000000-0009-0000-0000-000000000000}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E16" sqref="E16"/>
    </sheetView>
  </sheetViews>
  <sheetFormatPr defaultRowHeight="14.4" x14ac:dyDescent="0.3"/>
  <cols>
    <col min="1" max="1" width="12.44140625" bestFit="1" customWidth="1"/>
    <col min="2" max="2" width="21.77734375" bestFit="1" customWidth="1"/>
    <col min="3" max="3" width="22.6640625" bestFit="1" customWidth="1"/>
    <col min="4" max="5" width="9.88671875" bestFit="1" customWidth="1"/>
    <col min="6" max="6" width="13.6640625" bestFit="1" customWidth="1"/>
    <col min="7" max="7" width="22.6640625" bestFit="1" customWidth="1"/>
    <col min="8" max="8" width="20.109375" bestFit="1" customWidth="1"/>
    <col min="11" max="11" width="22.6640625" bestFit="1" customWidth="1"/>
  </cols>
  <sheetData>
    <row r="1" spans="1:12" x14ac:dyDescent="0.3">
      <c r="A1" s="4" t="s">
        <v>1</v>
      </c>
      <c r="B1" s="4" t="s">
        <v>0</v>
      </c>
      <c r="C1" s="4" t="s">
        <v>255</v>
      </c>
      <c r="D1" s="4" t="s">
        <v>256</v>
      </c>
      <c r="E1" s="4" t="s">
        <v>67</v>
      </c>
      <c r="F1" s="4" t="s">
        <v>257</v>
      </c>
      <c r="G1" s="4" t="s">
        <v>258</v>
      </c>
      <c r="H1" s="4" t="s">
        <v>259</v>
      </c>
      <c r="K1" s="1" t="s">
        <v>10</v>
      </c>
      <c r="L1" s="2"/>
    </row>
    <row r="2" spans="1:12" x14ac:dyDescent="0.3">
      <c r="A2" s="1" t="s">
        <v>10</v>
      </c>
      <c r="B2" s="2" t="s">
        <v>9</v>
      </c>
      <c r="C2" s="2">
        <v>32</v>
      </c>
      <c r="D2" s="2">
        <v>32</v>
      </c>
      <c r="E2" s="2">
        <f>SUM(C2-D2)</f>
        <v>0</v>
      </c>
      <c r="F2" s="3">
        <v>11835.17</v>
      </c>
      <c r="G2" s="2">
        <v>0</v>
      </c>
      <c r="H2" s="3">
        <f>SUM(F2-G2)</f>
        <v>11835.17</v>
      </c>
      <c r="K2" s="4" t="s">
        <v>255</v>
      </c>
      <c r="L2" s="2">
        <f>SUM(C2:C7)</f>
        <v>96</v>
      </c>
    </row>
    <row r="3" spans="1:12" x14ac:dyDescent="0.3">
      <c r="A3" s="1" t="s">
        <v>10</v>
      </c>
      <c r="B3" s="2" t="s">
        <v>81</v>
      </c>
      <c r="C3" s="2">
        <v>33</v>
      </c>
      <c r="D3" s="2">
        <v>23</v>
      </c>
      <c r="E3" s="2">
        <f t="shared" ref="E3:E7" si="0">SUM(C3-D3)</f>
        <v>10</v>
      </c>
      <c r="F3" s="2">
        <v>4242.9684100000004</v>
      </c>
      <c r="G3" s="2">
        <v>853</v>
      </c>
      <c r="H3" s="3">
        <f t="shared" ref="H3:H7" si="1">SUM(F3-G3)</f>
        <v>3389.9684100000004</v>
      </c>
      <c r="K3" s="4" t="s">
        <v>256</v>
      </c>
      <c r="L3" s="2">
        <f>SUM(D2:D7)</f>
        <v>78</v>
      </c>
    </row>
    <row r="4" spans="1:12" x14ac:dyDescent="0.3">
      <c r="A4" s="1" t="s">
        <v>10</v>
      </c>
      <c r="B4" s="2" t="s">
        <v>122</v>
      </c>
      <c r="C4" s="2">
        <v>4</v>
      </c>
      <c r="D4" s="2">
        <v>2</v>
      </c>
      <c r="E4" s="2">
        <f t="shared" si="0"/>
        <v>2</v>
      </c>
      <c r="F4" s="2">
        <v>179</v>
      </c>
      <c r="G4" s="2">
        <v>94</v>
      </c>
      <c r="H4" s="3">
        <f t="shared" si="1"/>
        <v>85</v>
      </c>
      <c r="K4" s="4" t="s">
        <v>67</v>
      </c>
      <c r="L4" s="2">
        <f>SUM(E2:E7)</f>
        <v>18</v>
      </c>
    </row>
    <row r="5" spans="1:12" x14ac:dyDescent="0.3">
      <c r="A5" s="1" t="s">
        <v>10</v>
      </c>
      <c r="B5" s="2" t="s">
        <v>260</v>
      </c>
      <c r="C5" s="2">
        <v>23</v>
      </c>
      <c r="D5" s="2">
        <v>17</v>
      </c>
      <c r="E5" s="2">
        <f t="shared" si="0"/>
        <v>6</v>
      </c>
      <c r="F5" s="2">
        <v>907.37500000000023</v>
      </c>
      <c r="G5" s="2">
        <v>153.44999999999999</v>
      </c>
      <c r="H5" s="3">
        <f t="shared" si="1"/>
        <v>753.92500000000018</v>
      </c>
      <c r="K5" s="4" t="s">
        <v>257</v>
      </c>
      <c r="L5" s="3">
        <f>SUM(F2:F7)</f>
        <v>17510.793409999998</v>
      </c>
    </row>
    <row r="6" spans="1:12" x14ac:dyDescent="0.3">
      <c r="A6" s="1" t="s">
        <v>10</v>
      </c>
      <c r="B6" s="2" t="s">
        <v>261</v>
      </c>
      <c r="C6" s="2">
        <v>3</v>
      </c>
      <c r="D6" s="2">
        <v>3</v>
      </c>
      <c r="E6" s="2">
        <f t="shared" si="0"/>
        <v>0</v>
      </c>
      <c r="F6" s="2">
        <v>318.18</v>
      </c>
      <c r="G6" s="2">
        <v>0</v>
      </c>
      <c r="H6" s="3">
        <f t="shared" si="1"/>
        <v>318.18</v>
      </c>
      <c r="K6" s="4" t="s">
        <v>258</v>
      </c>
      <c r="L6" s="2">
        <f>SUM(G2:G7)</f>
        <v>1100.45</v>
      </c>
    </row>
    <row r="7" spans="1:12" x14ac:dyDescent="0.3">
      <c r="A7" s="1" t="s">
        <v>10</v>
      </c>
      <c r="B7" s="2" t="s">
        <v>262</v>
      </c>
      <c r="C7" s="2">
        <v>1</v>
      </c>
      <c r="D7" s="2">
        <v>1</v>
      </c>
      <c r="E7" s="2">
        <f t="shared" si="0"/>
        <v>0</v>
      </c>
      <c r="F7" s="2">
        <v>28.1</v>
      </c>
      <c r="G7" s="2">
        <v>0</v>
      </c>
      <c r="H7" s="3">
        <f t="shared" si="1"/>
        <v>28.1</v>
      </c>
      <c r="K7" s="4" t="s">
        <v>259</v>
      </c>
      <c r="L7" s="3">
        <f>SUM(H2:H7)</f>
        <v>16410.343409999998</v>
      </c>
    </row>
    <row r="10" spans="1:12" x14ac:dyDescent="0.3">
      <c r="A10" s="4" t="s">
        <v>1</v>
      </c>
      <c r="B10" s="4" t="s">
        <v>0</v>
      </c>
      <c r="C10" s="4" t="s">
        <v>255</v>
      </c>
      <c r="D10" s="4" t="s">
        <v>256</v>
      </c>
      <c r="E10" s="4" t="s">
        <v>67</v>
      </c>
      <c r="F10" s="4" t="s">
        <v>257</v>
      </c>
      <c r="G10" s="4" t="s">
        <v>258</v>
      </c>
      <c r="H10" s="4" t="s">
        <v>259</v>
      </c>
      <c r="K10" s="1" t="s">
        <v>44</v>
      </c>
      <c r="L10" s="2"/>
    </row>
    <row r="11" spans="1:12" x14ac:dyDescent="0.3">
      <c r="A11" s="1" t="s">
        <v>44</v>
      </c>
      <c r="B11" s="2" t="s">
        <v>9</v>
      </c>
      <c r="C11" s="2">
        <v>31</v>
      </c>
      <c r="D11" s="2">
        <v>16</v>
      </c>
      <c r="E11" s="2">
        <f>SUM(C11-D11)</f>
        <v>15</v>
      </c>
      <c r="F11" s="3">
        <v>556.99</v>
      </c>
      <c r="G11" s="2">
        <v>229.76000000000002</v>
      </c>
      <c r="H11" s="3">
        <f>SUM(F11-G11)</f>
        <v>327.23</v>
      </c>
      <c r="K11" s="4" t="s">
        <v>255</v>
      </c>
      <c r="L11" s="2">
        <f>SUM(C11:C13)</f>
        <v>131</v>
      </c>
    </row>
    <row r="12" spans="1:12" x14ac:dyDescent="0.3">
      <c r="A12" s="1" t="s">
        <v>44</v>
      </c>
      <c r="B12" s="2" t="s">
        <v>122</v>
      </c>
      <c r="C12" s="2">
        <v>66</v>
      </c>
      <c r="D12" s="2">
        <v>30</v>
      </c>
      <c r="E12" s="2">
        <f>SUM(C12-D12)</f>
        <v>36</v>
      </c>
      <c r="F12" s="2">
        <v>51.683000000000014</v>
      </c>
      <c r="G12" s="2">
        <v>27.668999999999997</v>
      </c>
      <c r="H12" s="3">
        <f>SUM(F12-G12)</f>
        <v>24.014000000000017</v>
      </c>
      <c r="K12" s="4" t="s">
        <v>256</v>
      </c>
      <c r="L12" s="2">
        <f>SUM(D11:D13)</f>
        <v>75</v>
      </c>
    </row>
    <row r="13" spans="1:12" x14ac:dyDescent="0.3">
      <c r="A13" s="1" t="s">
        <v>44</v>
      </c>
      <c r="B13" s="2" t="s">
        <v>260</v>
      </c>
      <c r="C13" s="2">
        <v>34</v>
      </c>
      <c r="D13" s="2">
        <v>29</v>
      </c>
      <c r="E13" s="2">
        <f>SUM(C13-D13)</f>
        <v>5</v>
      </c>
      <c r="F13" s="2">
        <v>71.280410000000003</v>
      </c>
      <c r="G13" s="2">
        <v>52.664999999999999</v>
      </c>
      <c r="H13" s="3">
        <f>SUM(F13-G13)</f>
        <v>18.615410000000004</v>
      </c>
      <c r="K13" s="4" t="s">
        <v>67</v>
      </c>
      <c r="L13" s="2">
        <f>SUM(E11:E13)</f>
        <v>56</v>
      </c>
    </row>
    <row r="14" spans="1:12" x14ac:dyDescent="0.3">
      <c r="K14" s="4" t="s">
        <v>257</v>
      </c>
      <c r="L14" s="3">
        <f>SUM(F11:F13)</f>
        <v>679.95340999999996</v>
      </c>
    </row>
    <row r="15" spans="1:12" x14ac:dyDescent="0.3">
      <c r="K15" s="4" t="s">
        <v>258</v>
      </c>
      <c r="L15" s="2">
        <f>SUM(G11:G13)</f>
        <v>310.09400000000005</v>
      </c>
    </row>
    <row r="16" spans="1:12" x14ac:dyDescent="0.3">
      <c r="K16" s="4" t="s">
        <v>259</v>
      </c>
      <c r="L16" s="3">
        <f>SUM(H11:H13)</f>
        <v>369.85941000000003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D91F-8C59-47E6-BD4A-52A55F8B1FA0}">
  <dimension ref="A1:F2"/>
  <sheetViews>
    <sheetView workbookViewId="0">
      <selection activeCell="E12" sqref="E12"/>
    </sheetView>
  </sheetViews>
  <sheetFormatPr defaultRowHeight="14.4" x14ac:dyDescent="0.3"/>
  <cols>
    <col min="1" max="1" width="11.44140625" bestFit="1" customWidth="1"/>
    <col min="2" max="3" width="9.88671875" bestFit="1" customWidth="1"/>
    <col min="4" max="4" width="12.88671875" bestFit="1" customWidth="1"/>
    <col min="5" max="5" width="22" bestFit="1" customWidth="1"/>
    <col min="6" max="6" width="19.21875" bestFit="1" customWidth="1"/>
  </cols>
  <sheetData>
    <row r="1" spans="1:6" x14ac:dyDescent="0.3">
      <c r="A1" s="9" t="s">
        <v>255</v>
      </c>
      <c r="B1" s="9" t="s">
        <v>256</v>
      </c>
      <c r="C1" s="9" t="s">
        <v>67</v>
      </c>
      <c r="D1" s="9" t="s">
        <v>257</v>
      </c>
      <c r="E1" s="9" t="s">
        <v>258</v>
      </c>
      <c r="F1" s="9" t="s">
        <v>288</v>
      </c>
    </row>
    <row r="2" spans="1:6" x14ac:dyDescent="0.3">
      <c r="A2" s="2">
        <v>227</v>
      </c>
      <c r="B2" s="2">
        <v>153</v>
      </c>
      <c r="C2" s="2">
        <v>74</v>
      </c>
      <c r="D2" s="2">
        <v>18190.746819999997</v>
      </c>
      <c r="E2" s="2">
        <v>1410.5440000000001</v>
      </c>
      <c r="F2" s="2">
        <v>16780.202819999999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15" sqref="D15"/>
    </sheetView>
  </sheetViews>
  <sheetFormatPr defaultRowHeight="14.4" x14ac:dyDescent="0.3"/>
  <cols>
    <col min="1" max="1" width="12.44140625" bestFit="1" customWidth="1"/>
    <col min="2" max="2" width="12.109375" bestFit="1" customWidth="1"/>
    <col min="3" max="3" width="19.77734375" bestFit="1" customWidth="1"/>
    <col min="4" max="4" width="23.5546875" bestFit="1" customWidth="1"/>
    <col min="5" max="5" width="7.21875" bestFit="1" customWidth="1"/>
    <col min="6" max="6" width="4.44140625" bestFit="1" customWidth="1"/>
    <col min="7" max="7" width="7.44140625" bestFit="1" customWidth="1"/>
    <col min="11" max="11" width="30.5546875" bestFit="1" customWidth="1"/>
    <col min="12" max="12" width="9.88671875" bestFit="1" customWidth="1"/>
    <col min="13" max="13" width="19.77734375" bestFit="1" customWidth="1"/>
    <col min="14" max="14" width="10.77734375" bestFit="1" customWidth="1"/>
  </cols>
  <sheetData>
    <row r="1" spans="1:4" x14ac:dyDescent="0.3">
      <c r="A1" s="8" t="s">
        <v>3</v>
      </c>
      <c r="B1" s="8" t="s">
        <v>264</v>
      </c>
      <c r="C1" s="8" t="s">
        <v>265</v>
      </c>
      <c r="D1" s="8" t="s">
        <v>285</v>
      </c>
    </row>
    <row r="2" spans="1:4" x14ac:dyDescent="0.3">
      <c r="A2" s="2" t="s">
        <v>12</v>
      </c>
      <c r="B2" s="2" t="s">
        <v>266</v>
      </c>
      <c r="C2" s="7">
        <v>0</v>
      </c>
      <c r="D2" s="2" t="s">
        <v>286</v>
      </c>
    </row>
    <row r="3" spans="1:4" x14ac:dyDescent="0.3">
      <c r="A3" s="2" t="s">
        <v>54</v>
      </c>
      <c r="B3" s="2" t="s">
        <v>267</v>
      </c>
      <c r="C3" s="7">
        <v>1E-3</v>
      </c>
      <c r="D3" s="2" t="s">
        <v>268</v>
      </c>
    </row>
    <row r="4" spans="1:4" x14ac:dyDescent="0.3">
      <c r="A4" s="2" t="s">
        <v>56</v>
      </c>
      <c r="B4" s="2" t="s">
        <v>267</v>
      </c>
      <c r="C4" s="7">
        <v>2E-3</v>
      </c>
      <c r="D4" s="2" t="s">
        <v>269</v>
      </c>
    </row>
    <row r="5" spans="1:4" x14ac:dyDescent="0.3">
      <c r="A5" s="2" t="s">
        <v>104</v>
      </c>
      <c r="B5" s="2" t="s">
        <v>267</v>
      </c>
      <c r="C5" s="7">
        <v>3.0000000000000001E-3</v>
      </c>
      <c r="D5" s="2" t="s">
        <v>270</v>
      </c>
    </row>
    <row r="6" spans="1:4" x14ac:dyDescent="0.3">
      <c r="A6" s="2" t="s">
        <v>250</v>
      </c>
      <c r="B6" s="2" t="s">
        <v>267</v>
      </c>
      <c r="C6" s="7">
        <v>3.0000000000000001E-3</v>
      </c>
      <c r="D6" s="2" t="s">
        <v>270</v>
      </c>
    </row>
    <row r="7" spans="1:4" x14ac:dyDescent="0.3">
      <c r="A7" s="2" t="s">
        <v>271</v>
      </c>
      <c r="B7" s="2" t="s">
        <v>272</v>
      </c>
      <c r="C7" s="7">
        <v>5.0000000000000001E-3</v>
      </c>
      <c r="D7" s="2" t="s">
        <v>273</v>
      </c>
    </row>
    <row r="8" spans="1:4" x14ac:dyDescent="0.3">
      <c r="A8" s="2" t="s">
        <v>59</v>
      </c>
      <c r="B8" s="2" t="s">
        <v>272</v>
      </c>
      <c r="C8" s="7">
        <v>6.0000000000000001E-3</v>
      </c>
      <c r="D8" s="2" t="s">
        <v>274</v>
      </c>
    </row>
    <row r="9" spans="1:4" x14ac:dyDescent="0.3">
      <c r="A9" s="2" t="s">
        <v>61</v>
      </c>
      <c r="B9" s="2" t="s">
        <v>256</v>
      </c>
      <c r="C9" s="7">
        <v>8.0000000000000002E-3</v>
      </c>
      <c r="D9" s="2" t="s">
        <v>275</v>
      </c>
    </row>
    <row r="10" spans="1:4" x14ac:dyDescent="0.3">
      <c r="A10" s="2" t="s">
        <v>67</v>
      </c>
      <c r="B10" s="2" t="s">
        <v>67</v>
      </c>
      <c r="C10" s="7">
        <v>0.01</v>
      </c>
      <c r="D10" s="2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22" sqref="F22"/>
    </sheetView>
  </sheetViews>
  <sheetFormatPr defaultRowHeight="14.4" x14ac:dyDescent="0.3"/>
  <cols>
    <col min="2" max="2" width="28.77734375" bestFit="1" customWidth="1"/>
  </cols>
  <sheetData>
    <row r="1" spans="1:2" x14ac:dyDescent="0.3">
      <c r="A1" s="4" t="s">
        <v>277</v>
      </c>
      <c r="B1" s="4" t="s">
        <v>3</v>
      </c>
    </row>
    <row r="2" spans="1:2" x14ac:dyDescent="0.3">
      <c r="A2" s="2">
        <v>1</v>
      </c>
      <c r="B2" s="2" t="s">
        <v>12</v>
      </c>
    </row>
    <row r="3" spans="1:2" x14ac:dyDescent="0.3">
      <c r="A3" s="2">
        <v>2</v>
      </c>
      <c r="B3" s="2" t="s">
        <v>54</v>
      </c>
    </row>
    <row r="4" spans="1:2" x14ac:dyDescent="0.3">
      <c r="A4" s="2">
        <v>3</v>
      </c>
      <c r="B4" s="2" t="s">
        <v>104</v>
      </c>
    </row>
    <row r="5" spans="1:2" x14ac:dyDescent="0.3">
      <c r="A5" s="2">
        <v>4</v>
      </c>
      <c r="B5" s="2" t="s">
        <v>271</v>
      </c>
    </row>
    <row r="6" spans="1:2" x14ac:dyDescent="0.3">
      <c r="A6" s="2">
        <v>5</v>
      </c>
      <c r="B6" s="2" t="s">
        <v>61</v>
      </c>
    </row>
    <row r="7" spans="1:2" x14ac:dyDescent="0.3">
      <c r="A7" s="2">
        <v>6</v>
      </c>
      <c r="B7" s="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7" sqref="B17"/>
    </sheetView>
  </sheetViews>
  <sheetFormatPr defaultRowHeight="14.4" x14ac:dyDescent="0.3"/>
  <cols>
    <col min="2" max="2" width="37" bestFit="1" customWidth="1"/>
  </cols>
  <sheetData>
    <row r="1" spans="1:2" x14ac:dyDescent="0.3">
      <c r="A1" s="4" t="s">
        <v>278</v>
      </c>
      <c r="B1" s="4" t="s">
        <v>0</v>
      </c>
    </row>
    <row r="2" spans="1:2" x14ac:dyDescent="0.3">
      <c r="A2" s="2" t="s">
        <v>279</v>
      </c>
      <c r="B2" s="2" t="s">
        <v>9</v>
      </c>
    </row>
    <row r="3" spans="1:2" x14ac:dyDescent="0.3">
      <c r="A3" s="2" t="s">
        <v>280</v>
      </c>
      <c r="B3" s="2" t="s">
        <v>81</v>
      </c>
    </row>
    <row r="4" spans="1:2" x14ac:dyDescent="0.3">
      <c r="A4" s="2" t="s">
        <v>281</v>
      </c>
      <c r="B4" s="2" t="s">
        <v>122</v>
      </c>
    </row>
    <row r="5" spans="1:2" x14ac:dyDescent="0.3">
      <c r="A5" s="2" t="s">
        <v>282</v>
      </c>
      <c r="B5" s="2" t="s">
        <v>260</v>
      </c>
    </row>
    <row r="6" spans="1:2" x14ac:dyDescent="0.3">
      <c r="A6" s="2" t="s">
        <v>283</v>
      </c>
      <c r="B6" s="2" t="s">
        <v>248</v>
      </c>
    </row>
    <row r="7" spans="1:2" x14ac:dyDescent="0.3">
      <c r="A7" s="2" t="s">
        <v>284</v>
      </c>
      <c r="B7" s="2" t="s">
        <v>253</v>
      </c>
    </row>
    <row r="8" spans="1:2" x14ac:dyDescent="0.3">
      <c r="A8" s="2" t="s">
        <v>287</v>
      </c>
      <c r="B8" s="2" t="s">
        <v>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AC7531465724280E49D1C886E8FBD" ma:contentTypeVersion="10" ma:contentTypeDescription="Create a new document." ma:contentTypeScope="" ma:versionID="becc9934dd9949373ca12cfba73cd00b">
  <xsd:schema xmlns:xsd="http://www.w3.org/2001/XMLSchema" xmlns:xs="http://www.w3.org/2001/XMLSchema" xmlns:p="http://schemas.microsoft.com/office/2006/metadata/properties" xmlns:ns3="6c76b382-92ae-46ce-8c21-7c069d24c44f" targetNamespace="http://schemas.microsoft.com/office/2006/metadata/properties" ma:root="true" ma:fieldsID="a6a7d184ddc4fc2c19b526ca8ee7a9dd" ns3:_="">
    <xsd:import namespace="6c76b382-92ae-46ce-8c21-7c069d24c4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6b382-92ae-46ce-8c21-7c069d24c4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76b382-92ae-46ce-8c21-7c069d24c44f" xsi:nil="true"/>
  </documentManagement>
</p:properties>
</file>

<file path=customXml/itemProps1.xml><?xml version="1.0" encoding="utf-8"?>
<ds:datastoreItem xmlns:ds="http://schemas.openxmlformats.org/officeDocument/2006/customXml" ds:itemID="{DC99913E-E554-44C5-AAFA-4DE1D82721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24C164-4D17-4F1D-B391-589FC313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76b382-92ae-46ce-8c21-7c069d24c4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EC3DAD-7F48-4187-BF06-F884EDFA5A1E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6c76b382-92ae-46ce-8c21-7c069d24c44f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Summary</vt:lpstr>
      <vt:lpstr>HVMV</vt:lpstr>
      <vt:lpstr>Commission target</vt:lpstr>
      <vt:lpstr>Stage_List</vt:lpstr>
      <vt:lpstr>Sector_List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Aqib Abqari bin Adnan</dc:creator>
  <cp:lastModifiedBy>Muhammad Aqib Abqari bin Adnan</cp:lastModifiedBy>
  <dcterms:created xsi:type="dcterms:W3CDTF">2026-06-29T02:06:59Z</dcterms:created>
  <dcterms:modified xsi:type="dcterms:W3CDTF">2026-07-14T10:28:20Z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0x010100F36AC7531465724280E49D1C886E8FBD</vt:lpwstr>
  </property>
</Properties>
</file>